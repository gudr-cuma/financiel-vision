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_pCloud\@FN Cuma\&amp;Projets\Plaquette - Dossier de gestion\"/>
    </mc:Choice>
  </mc:AlternateContent>
  <bookViews>
    <workbookView xWindow="28680" yWindow="-120" windowWidth="29040" windowHeight="15720" tabRatio="500" activeTab="1"/>
  </bookViews>
  <sheets>
    <sheet name="GuideGestion" sheetId="1" r:id="rId1"/>
    <sheet name="Publipostage" sheetId="2" r:id="rId2"/>
  </sheets>
  <calcPr calcId="162913" forceFullCalc="1"/>
  <extLs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  <x:ext xmlns:x="http://schemas.openxmlformats.org/spreadsheetml/2006/main" xmlns:loext="http://schemas.libreoffice.org/" uri="{7626C862-2A13-11E5-B345-FEFF819CDC9F}">
      <loext:extCalcPr stringRefSyntax="ExcelA1"/>
    </x:ext>
  </extLst>
</workbook>
</file>

<file path=xl/calcChain.xml><?xml version="1.0" encoding="utf-8"?>
<calcChain xmlns="http://schemas.openxmlformats.org/spreadsheetml/2006/main">
  <c r="C20" i="1" l="1"/>
  <c r="C103" i="1" s="1"/>
  <c r="C104" i="1" s="1"/>
  <c r="D20" i="1"/>
  <c r="E20" i="1"/>
  <c r="F20" i="1"/>
  <c r="F71" i="1" s="1"/>
  <c r="F74" i="1" s="1"/>
  <c r="F75" i="1" s="1"/>
  <c r="C25" i="1"/>
  <c r="D25" i="1"/>
  <c r="E25" i="1"/>
  <c r="F25" i="1"/>
  <c r="C27" i="1"/>
  <c r="D27" i="1"/>
  <c r="E27" i="1"/>
  <c r="F27" i="1"/>
  <c r="C29" i="1"/>
  <c r="D29" i="1"/>
  <c r="E29" i="1"/>
  <c r="F29" i="1"/>
  <c r="C32" i="1"/>
  <c r="D32" i="1"/>
  <c r="E32" i="1"/>
  <c r="F32" i="1"/>
  <c r="C37" i="1"/>
  <c r="D37" i="1"/>
  <c r="E37" i="1"/>
  <c r="F37" i="1"/>
  <c r="F44" i="1" s="1"/>
  <c r="C41" i="1"/>
  <c r="D41" i="1"/>
  <c r="E41" i="1"/>
  <c r="F41" i="1"/>
  <c r="C55" i="1"/>
  <c r="D55" i="1"/>
  <c r="E55" i="1"/>
  <c r="F55" i="1"/>
  <c r="C59" i="1"/>
  <c r="D59" i="1"/>
  <c r="E59" i="1"/>
  <c r="F59" i="1"/>
  <c r="C65" i="1"/>
  <c r="D65" i="1"/>
  <c r="E65" i="1"/>
  <c r="F65" i="1"/>
  <c r="D71" i="1"/>
  <c r="D74" i="1" s="1"/>
  <c r="D75" i="1" s="1"/>
  <c r="E71" i="1"/>
  <c r="E74" i="1" s="1"/>
  <c r="E75" i="1" s="1"/>
  <c r="C80" i="1"/>
  <c r="D80" i="1"/>
  <c r="E80" i="1"/>
  <c r="F80" i="1"/>
  <c r="C85" i="1"/>
  <c r="D85" i="1"/>
  <c r="E85" i="1"/>
  <c r="F85" i="1"/>
  <c r="C88" i="1"/>
  <c r="D88" i="1"/>
  <c r="E88" i="1"/>
  <c r="F88" i="1"/>
  <c r="D90" i="1"/>
  <c r="D91" i="1" s="1"/>
  <c r="E90" i="1"/>
  <c r="E91" i="1" s="1"/>
  <c r="C92" i="1"/>
  <c r="D92" i="1"/>
  <c r="E92" i="1"/>
  <c r="F92" i="1"/>
  <c r="C93" i="1"/>
  <c r="D93" i="1"/>
  <c r="E93" i="1"/>
  <c r="F93" i="1"/>
  <c r="C95" i="1"/>
  <c r="D95" i="1"/>
  <c r="E95" i="1"/>
  <c r="F95" i="1"/>
  <c r="D103" i="1"/>
  <c r="D104" i="1" s="1"/>
  <c r="E103" i="1"/>
  <c r="E104" i="1" s="1"/>
  <c r="E44" i="1" l="1"/>
  <c r="E60" i="1" s="1"/>
  <c r="D105" i="1"/>
  <c r="F90" i="1"/>
  <c r="F91" i="1" s="1"/>
  <c r="F103" i="1"/>
  <c r="F104" i="1" s="1"/>
  <c r="F107" i="1" s="1"/>
  <c r="F60" i="1"/>
  <c r="D44" i="1"/>
  <c r="D60" i="1" s="1"/>
  <c r="C44" i="1"/>
  <c r="C60" i="1" s="1"/>
  <c r="E105" i="1"/>
  <c r="C71" i="1"/>
  <c r="C74" i="1" s="1"/>
  <c r="C75" i="1" s="1"/>
  <c r="C90" i="1"/>
  <c r="C91" i="1" s="1"/>
  <c r="C107" i="1"/>
  <c r="E107" i="1"/>
  <c r="D107" i="1"/>
  <c r="F94" i="1"/>
  <c r="D94" i="1"/>
  <c r="EP2" i="2"/>
  <c r="EO2" i="2"/>
  <c r="EN2" i="2"/>
  <c r="EM2" i="2"/>
  <c r="EL2" i="2"/>
  <c r="EK2" i="2"/>
  <c r="EJ2" i="2"/>
  <c r="EI2" i="2"/>
  <c r="EH2" i="2"/>
  <c r="EF2" i="2"/>
  <c r="DQ2" i="2"/>
  <c r="DP2" i="2"/>
  <c r="DO2" i="2"/>
  <c r="DN2" i="2"/>
  <c r="DM2" i="2"/>
  <c r="DL2" i="2"/>
  <c r="DK2" i="2"/>
  <c r="DJ2" i="2"/>
  <c r="DI2" i="2"/>
  <c r="DE2" i="2"/>
  <c r="DA2" i="2"/>
  <c r="CZ2" i="2"/>
  <c r="CA2" i="2"/>
  <c r="CD2" i="2" s="1"/>
  <c r="BZ2" i="2"/>
  <c r="CC2" i="2" s="1"/>
  <c r="BY2" i="2"/>
  <c r="CB2" i="2" s="1"/>
  <c r="BL2" i="2"/>
  <c r="BK2" i="2"/>
  <c r="BJ2" i="2"/>
  <c r="BI2" i="2"/>
  <c r="BH2" i="2"/>
  <c r="BG2" i="2"/>
  <c r="BA2" i="2"/>
  <c r="AW2" i="2"/>
  <c r="AV2" i="2"/>
  <c r="AU2" i="2"/>
  <c r="AQ2" i="2"/>
  <c r="AP2" i="2"/>
  <c r="AO2" i="2"/>
  <c r="AE2" i="2"/>
  <c r="AD2" i="2"/>
  <c r="AC2" i="2"/>
  <c r="AB2" i="2"/>
  <c r="AA2" i="2"/>
  <c r="Z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E94" i="1" l="1"/>
  <c r="F105" i="1"/>
  <c r="C94" i="1"/>
  <c r="C105" i="1"/>
  <c r="AF2" i="2"/>
  <c r="AR2" i="2"/>
  <c r="BB2" i="2"/>
  <c r="BM2" i="2"/>
  <c r="AL2" i="2"/>
  <c r="CK2" i="2"/>
  <c r="DT2" i="2"/>
  <c r="EC2" i="2"/>
  <c r="AT2" i="2"/>
  <c r="BO2" i="2"/>
  <c r="DD2" i="2"/>
  <c r="CM2" i="2"/>
  <c r="DV2" i="2"/>
  <c r="EE2" i="2"/>
  <c r="AZ2" i="2"/>
  <c r="CG2" i="2"/>
  <c r="AG2" i="2"/>
  <c r="BN2" i="2"/>
  <c r="ED2" i="2"/>
  <c r="AH2" i="2"/>
  <c r="CP2" i="2"/>
  <c r="AS2" i="2"/>
  <c r="CL2" i="2"/>
  <c r="W2" i="2"/>
  <c r="BC2" i="2"/>
  <c r="CE2" i="2"/>
  <c r="DW2" i="2"/>
  <c r="EG2" i="2"/>
  <c r="AK2" i="2"/>
  <c r="DY2" i="2"/>
  <c r="AM2" i="2"/>
  <c r="DU2" i="2"/>
  <c r="AI2" i="2"/>
  <c r="AX2" i="2"/>
  <c r="DR2" i="2"/>
  <c r="CN2" i="2"/>
  <c r="AJ2" i="2"/>
  <c r="AY2" i="2"/>
  <c r="DS2" i="2"/>
  <c r="CF2" i="2"/>
  <c r="CO2" i="2"/>
  <c r="DX2" i="2"/>
  <c r="EQ2" i="2"/>
  <c r="ER2" i="2"/>
  <c r="ES2" i="2"/>
  <c r="DC2" i="2"/>
  <c r="DB2" i="2"/>
  <c r="X2" i="2"/>
  <c r="AN2" i="2"/>
  <c r="Y2" i="2"/>
  <c r="CU2" i="2" l="1"/>
  <c r="BX2" i="2"/>
  <c r="BU2" i="2"/>
  <c r="CJ2" i="2" s="1"/>
  <c r="BT2" i="2"/>
  <c r="CI2" i="2" s="1"/>
  <c r="BE2" i="2"/>
  <c r="BS2" i="2"/>
  <c r="CH2" i="2" s="1"/>
  <c r="BF2" i="2"/>
  <c r="DF2" i="2"/>
  <c r="DH2" i="2"/>
  <c r="BD2" i="2"/>
  <c r="DG2" i="2"/>
  <c r="DZ2" i="2" l="1"/>
  <c r="CR2" i="2"/>
  <c r="CW2" i="2"/>
  <c r="EA2" i="2"/>
  <c r="BV2" i="2"/>
  <c r="BP2" i="2"/>
  <c r="CQ2" i="2"/>
  <c r="BQ2" i="2"/>
  <c r="CT2" i="2"/>
  <c r="BW2" i="2"/>
  <c r="CY2" i="2"/>
  <c r="EB2" i="2"/>
  <c r="BR2" i="2"/>
  <c r="CV2" i="2"/>
  <c r="CS2" i="2"/>
  <c r="CX2" i="2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1"/>
            <color rgb="FF000000"/>
            <rFont val="Calibri"/>
            <family val="2"/>
            <charset val="1"/>
          </rPr>
          <t>[Microsoft JET Created Table]084101010101010101010101010101010101010101010101010101010101010101010101010101010101010101010101010101010101010101010101010101010101010101010101010101010101010101010101010</t>
        </r>
      </text>
    </comment>
  </commentList>
</comments>
</file>

<file path=xl/sharedStrings.xml><?xml version="1.0" encoding="utf-8"?>
<sst xmlns="http://schemas.openxmlformats.org/spreadsheetml/2006/main" count="376" uniqueCount="314">
  <si>
    <t>Nom de la Cuma</t>
  </si>
  <si>
    <t>Numéro de gestion</t>
  </si>
  <si>
    <t>Commune</t>
  </si>
  <si>
    <t>Numéro d'agrément</t>
  </si>
  <si>
    <t>Cloture N</t>
  </si>
  <si>
    <t>Cloture N-1</t>
  </si>
  <si>
    <t>Cloture N-2</t>
  </si>
  <si>
    <t>Nom Comptable</t>
  </si>
  <si>
    <t>Tel Comptable</t>
  </si>
  <si>
    <t>mail comptable</t>
  </si>
  <si>
    <t>nb_adh</t>
  </si>
  <si>
    <t>datedebut</t>
  </si>
  <si>
    <t>datefin</t>
  </si>
  <si>
    <t>DIFFERENTS NIVEAUX DE RESULTATS</t>
  </si>
  <si>
    <t>compte=(7-71)</t>
  </si>
  <si>
    <t>Chiffre d'affaires</t>
  </si>
  <si>
    <t>Excédent brut d'exploitation</t>
  </si>
  <si>
    <t>Résultat courant</t>
  </si>
  <si>
    <t>Compte=(695)</t>
  </si>
  <si>
    <t>Résultat IS</t>
  </si>
  <si>
    <t>Compte=(67;687;69-694;696-699;77;787)</t>
  </si>
  <si>
    <t>Résultat exceptionnel</t>
  </si>
  <si>
    <t>Résultat Net Comptable</t>
  </si>
  <si>
    <t>ANALYSE DES CHARGES DE LA CUMA</t>
  </si>
  <si>
    <t>Compte=(70-7062;7064-708;709-71)</t>
  </si>
  <si>
    <t>Chiffre d'affaires corrigé</t>
  </si>
  <si>
    <t>Compte=(70612010;70612020;70613010;70613020;70617010;70617020;70618010;70618020;70620010;70620020;70630010;70630020;70830010;70830020)</t>
  </si>
  <si>
    <t>CA Taux reduit</t>
  </si>
  <si>
    <t>Entretien réparation corrigé</t>
  </si>
  <si>
    <t>Entretien réparation corrigé /  CA corrigé</t>
  </si>
  <si>
    <r>
      <rPr>
        <sz val="10"/>
        <color rgb="FF000000"/>
        <rFont val="Arial"/>
        <family val="2"/>
        <charset val="1"/>
      </rPr>
      <t>Compte=(6811;6816)</t>
    </r>
    <r>
      <rPr>
        <sz val="9"/>
        <color rgb="FF000000"/>
        <rFont val="Calibri"/>
        <family val="2"/>
        <charset val="1"/>
      </rPr>
      <t xml:space="preserve"> credit=negatif</t>
    </r>
  </si>
  <si>
    <t>Amortissement</t>
  </si>
  <si>
    <t>Amortissement / CA corrigé</t>
  </si>
  <si>
    <r>
      <rPr>
        <sz val="10"/>
        <color rgb="FF000000"/>
        <rFont val="Arial"/>
        <family val="2"/>
        <charset val="1"/>
      </rPr>
      <t>Compte=(64)</t>
    </r>
    <r>
      <rPr>
        <sz val="9"/>
        <color rgb="FF000000"/>
        <rFont val="Calibri"/>
        <family val="2"/>
        <charset val="1"/>
      </rPr>
      <t xml:space="preserve"> credit=negatif</t>
    </r>
  </si>
  <si>
    <t>Charges salariales</t>
  </si>
  <si>
    <t>Charges salariales / CA corrigé</t>
  </si>
  <si>
    <r>
      <rPr>
        <sz val="10"/>
        <color rgb="FF000000"/>
        <rFont val="Arial"/>
        <family val="2"/>
        <charset val="1"/>
      </rPr>
      <t>Compte=(60212;603212)</t>
    </r>
    <r>
      <rPr>
        <sz val="9"/>
        <color rgb="FF000000"/>
        <rFont val="Calibri"/>
        <family val="2"/>
        <charset val="1"/>
      </rPr>
      <t xml:space="preserve"> credit=negatif</t>
    </r>
  </si>
  <si>
    <t>Carburant</t>
  </si>
  <si>
    <r>
      <rPr>
        <sz val="10"/>
        <color rgb="FF000000"/>
        <rFont val="Arial"/>
        <family val="2"/>
        <charset val="1"/>
      </rPr>
      <t>Compte=(66)</t>
    </r>
    <r>
      <rPr>
        <sz val="9"/>
        <color rgb="FF000000"/>
        <rFont val="Calibri"/>
        <family val="2"/>
        <charset val="1"/>
      </rPr>
      <t xml:space="preserve"> credit=negatif</t>
    </r>
  </si>
  <si>
    <t>Frais financier</t>
  </si>
  <si>
    <t>Frais financier / CA corrigé</t>
  </si>
  <si>
    <t>FINANCEMENT DE L'EXERCICE</t>
  </si>
  <si>
    <t>Résultat (hors vente matériel)</t>
  </si>
  <si>
    <t>Compte=(68) credit=negatif</t>
  </si>
  <si>
    <t>Dotation Amort+prov</t>
  </si>
  <si>
    <t>Compte=(747;777;781;787) credit=positif</t>
  </si>
  <si>
    <t>Dotation rep/prov</t>
  </si>
  <si>
    <t>Dotation Amort+prov – rep/prov</t>
  </si>
  <si>
    <t>critere</t>
  </si>
  <si>
    <t>DB</t>
  </si>
  <si>
    <t>Compte=(8168) credit=negatif</t>
  </si>
  <si>
    <t>Emprunt remboursé par anticipation</t>
  </si>
  <si>
    <t>Remboursement du cap des emprunts long et moyen terme de l'année</t>
  </si>
  <si>
    <t>Compte=(21;23)</t>
  </si>
  <si>
    <t>Achat d'immo</t>
  </si>
  <si>
    <t>Compte=(21)</t>
  </si>
  <si>
    <t>Achat d'immo sans acomptes</t>
  </si>
  <si>
    <t>Capacité d'Autofinancement Net</t>
  </si>
  <si>
    <t>Compte=(8453)</t>
  </si>
  <si>
    <t>Créances à plus d'un an</t>
  </si>
  <si>
    <t>SO</t>
  </si>
  <si>
    <t>Compte=(2715;26)</t>
  </si>
  <si>
    <t>Augmentation PS</t>
  </si>
  <si>
    <t>Revente d'immo</t>
  </si>
  <si>
    <t>Compte=(1012-1013)</t>
  </si>
  <si>
    <t>Variation capital</t>
  </si>
  <si>
    <t>CR</t>
  </si>
  <si>
    <t>Réalisation d'emprunt LMT</t>
  </si>
  <si>
    <t>Compte=(131;138-139;10621)</t>
  </si>
  <si>
    <t>Subvention</t>
  </si>
  <si>
    <t>Compte=(8164)</t>
  </si>
  <si>
    <t>Emprunt à recevoir</t>
  </si>
  <si>
    <t>Besoin d'autofinancement</t>
  </si>
  <si>
    <t>Compte=(68174)</t>
  </si>
  <si>
    <t>variation du fonds de roulement</t>
  </si>
  <si>
    <t>Compte=(78174)</t>
  </si>
  <si>
    <t>Variation fond de roulement</t>
  </si>
  <si>
    <t>Compte=(2815) credit=negatif</t>
  </si>
  <si>
    <t>montants amorti</t>
  </si>
  <si>
    <t>Compte=(215)credit=positif</t>
  </si>
  <si>
    <t>montant total des immos</t>
  </si>
  <si>
    <t>Taux de vétusté</t>
  </si>
  <si>
    <t>FONDS DE ROULEMENT DE DISPONIBILITE</t>
  </si>
  <si>
    <t>SD</t>
  </si>
  <si>
    <t>Compte=(48-485;487-489) credit=negatif</t>
  </si>
  <si>
    <t>Comptes de régularisation sans charges constatées d'avance</t>
  </si>
  <si>
    <t>Compte=(10-15;162;164;2) credit=positif</t>
  </si>
  <si>
    <t>Capital et réserves sans résultat</t>
  </si>
  <si>
    <t>Capital et réserves avec résultat</t>
  </si>
  <si>
    <t>Compte=(15)</t>
  </si>
  <si>
    <t>Provisions pour risques et charges</t>
  </si>
  <si>
    <t>sauf emprunts CT</t>
  </si>
  <si>
    <t>Fond de roulement</t>
  </si>
  <si>
    <t>Fond de roulement / CA</t>
  </si>
  <si>
    <t>Compte=(32;34;375;4091;50;53;54;486)credit=negatif</t>
  </si>
  <si>
    <t>Actif circulant (parties en SO)</t>
  </si>
  <si>
    <t>Compte=(40-4090;4092-4099;41-4190;4192-450;452-4759;477-479;51-518)credit=negatif</t>
  </si>
  <si>
    <t>Actif circulant (parties en TD)</t>
  </si>
  <si>
    <t>Compte=(453) credit=negatif</t>
  </si>
  <si>
    <t>Créances TTC</t>
  </si>
  <si>
    <t>Créances / CA</t>
  </si>
  <si>
    <t>Trésorerie Nette Globale</t>
  </si>
  <si>
    <t>CAPITAL SOCIAL – recours à l'emprunt</t>
  </si>
  <si>
    <t>Compte=(101) credit=positif</t>
  </si>
  <si>
    <t>CS</t>
  </si>
  <si>
    <t>CS / CA</t>
  </si>
  <si>
    <t>Compte=(215) credit=negatif</t>
  </si>
  <si>
    <t>Valeur brute matériel</t>
  </si>
  <si>
    <t>Compte=(21) credit=negatif</t>
  </si>
  <si>
    <t>Valeur brute immobilisé</t>
  </si>
  <si>
    <t>CS / Valeur brute matériel</t>
  </si>
  <si>
    <t>Compte=(10-14) credit=positif</t>
  </si>
  <si>
    <t>Capitaux propres sans résultat</t>
  </si>
  <si>
    <t>Capitaux propres avec résultat</t>
  </si>
  <si>
    <t>CS / Capitaux propres</t>
  </si>
  <si>
    <t>Entretien / Valeur brute matériel</t>
  </si>
  <si>
    <t>Valeur brute matériel / amortissements</t>
  </si>
  <si>
    <t>CAF corrigée / CA</t>
  </si>
  <si>
    <t>Créance / CA TTC</t>
  </si>
  <si>
    <t>TC</t>
  </si>
  <si>
    <t>Compte=(40-47)</t>
  </si>
  <si>
    <t>Comptes de tiers</t>
  </si>
  <si>
    <t>Compte=(51)</t>
  </si>
  <si>
    <t>Comptes  banques</t>
  </si>
  <si>
    <t>Compte=(40-4190;4192-458;46-476;478-479;51-518)</t>
  </si>
  <si>
    <t>Dettes (parties en TC)</t>
  </si>
  <si>
    <t>Compte=(16-1670;1672-1673;1675-168;17;188;269;279;4191;487;519)</t>
  </si>
  <si>
    <t>Dettes (parties en SO)</t>
  </si>
  <si>
    <t>Compte=(1)</t>
  </si>
  <si>
    <t>Capitaux sans résultats</t>
  </si>
  <si>
    <t>Capitaux avec résultats</t>
  </si>
  <si>
    <t>Total passif</t>
  </si>
  <si>
    <t>Capitaux propres / Passif</t>
  </si>
  <si>
    <t>Compte=(162;164)</t>
  </si>
  <si>
    <t>Dettes LMT = tous les prêts...</t>
  </si>
  <si>
    <t>Taux d'endettement LMT</t>
  </si>
  <si>
    <t>nom_cuma</t>
  </si>
  <si>
    <t>num_gestion</t>
  </si>
  <si>
    <t>debut_periode</t>
  </si>
  <si>
    <t>fin_periode</t>
  </si>
  <si>
    <t>commune</t>
  </si>
  <si>
    <t>num_agrement</t>
  </si>
  <si>
    <t>comptable_nom</t>
  </si>
  <si>
    <t>comptable_tel</t>
  </si>
  <si>
    <t>comptable_mail</t>
  </si>
  <si>
    <t>nb_adherent</t>
  </si>
  <si>
    <t>ca</t>
  </si>
  <si>
    <t>ca_n1</t>
  </si>
  <si>
    <t>ca_n2</t>
  </si>
  <si>
    <t>ebe</t>
  </si>
  <si>
    <t>ebe_n1</t>
  </si>
  <si>
    <t>ebe_n2</t>
  </si>
  <si>
    <t>rc</t>
  </si>
  <si>
    <t>rc_n1</t>
  </si>
  <si>
    <t>rc_n2</t>
  </si>
  <si>
    <t>rex</t>
  </si>
  <si>
    <t>rex_n1</t>
  </si>
  <si>
    <t>rex_n2</t>
  </si>
  <si>
    <t>rnc</t>
  </si>
  <si>
    <t>rnc_n1</t>
  </si>
  <si>
    <t>rnc_n2</t>
  </si>
  <si>
    <t>ca_corrige</t>
  </si>
  <si>
    <t>ca_corrige_n1</t>
  </si>
  <si>
    <t>ca_corrige_n2</t>
  </si>
  <si>
    <t>entretien</t>
  </si>
  <si>
    <t>entretien_n1</t>
  </si>
  <si>
    <t>entretien_n2</t>
  </si>
  <si>
    <t>entretien_ca</t>
  </si>
  <si>
    <t>entretien_ca_n1</t>
  </si>
  <si>
    <t>entretien_ca_n2</t>
  </si>
  <si>
    <t>amort_ca</t>
  </si>
  <si>
    <t>amort_ca_n1</t>
  </si>
  <si>
    <t>amort_ca_n2</t>
  </si>
  <si>
    <t>tx_vetuste</t>
  </si>
  <si>
    <t>tx_vetuste_n1</t>
  </si>
  <si>
    <t>tx_vetuste_n2</t>
  </si>
  <si>
    <t>chgsal</t>
  </si>
  <si>
    <t>chgsal_n1</t>
  </si>
  <si>
    <t>chgsal_n2</t>
  </si>
  <si>
    <t>chgsal_ca</t>
  </si>
  <si>
    <t>chgsal_ca_n1</t>
  </si>
  <si>
    <t>chgsal_ca_n2</t>
  </si>
  <si>
    <t>carburant</t>
  </si>
  <si>
    <t>carburant_n1</t>
  </si>
  <si>
    <t>carburant_n2</t>
  </si>
  <si>
    <t>ffinancier_ca</t>
  </si>
  <si>
    <t>ffinancier_ca_n1</t>
  </si>
  <si>
    <t>ffinancier_ca_n2</t>
  </si>
  <si>
    <t>res_hors_revente</t>
  </si>
  <si>
    <t>dot_amort_reprise_prov</t>
  </si>
  <si>
    <t>remb_emprunt</t>
  </si>
  <si>
    <t>CAF</t>
  </si>
  <si>
    <t>CAF_n1</t>
  </si>
  <si>
    <t>CAF_n2</t>
  </si>
  <si>
    <t>achat_immo</t>
  </si>
  <si>
    <t>augment_PSCRCA</t>
  </si>
  <si>
    <t>emprunt_LMT</t>
  </si>
  <si>
    <t>revente_immo</t>
  </si>
  <si>
    <t>variation_KS</t>
  </si>
  <si>
    <t>subvention</t>
  </si>
  <si>
    <t>besoin_autofin</t>
  </si>
  <si>
    <t>besoin_autofin_n1</t>
  </si>
  <si>
    <t>besoin_autofin_n2</t>
  </si>
  <si>
    <t>var_FdR</t>
  </si>
  <si>
    <t>var_FdR_n1</t>
  </si>
  <si>
    <t>var_FdR_n2</t>
  </si>
  <si>
    <t>fd_roulement</t>
  </si>
  <si>
    <t>fd_roulement_n1</t>
  </si>
  <si>
    <t>fd_roulement_n2</t>
  </si>
  <si>
    <t>fd_roulement_ca</t>
  </si>
  <si>
    <t>fd_roulement_ca_n1</t>
  </si>
  <si>
    <t>fd_roulement_ca_n2</t>
  </si>
  <si>
    <t>actif_circulant</t>
  </si>
  <si>
    <t>actif_circulant_n1</t>
  </si>
  <si>
    <t>actif_circulant_n2</t>
  </si>
  <si>
    <t>besoin_fdr</t>
  </si>
  <si>
    <t>besoin_fdr_n1</t>
  </si>
  <si>
    <t>besoin_fdr_n2</t>
  </si>
  <si>
    <t>creance_ca</t>
  </si>
  <si>
    <t>creance_ca_n1</t>
  </si>
  <si>
    <t>creance_ca_n2</t>
  </si>
  <si>
    <t>treso_net</t>
  </si>
  <si>
    <t>treso_net_n1</t>
  </si>
  <si>
    <t>treso_net_n2</t>
  </si>
  <si>
    <t>CS_CA</t>
  </si>
  <si>
    <t>CS_CA_n1</t>
  </si>
  <si>
    <t>CS_CA_n2</t>
  </si>
  <si>
    <t>CS_val_brute_mat</t>
  </si>
  <si>
    <t>CS_val_brute_mat_n1</t>
  </si>
  <si>
    <t>CS_val_brute_mat_n2</t>
  </si>
  <si>
    <t>CS_k_propres</t>
  </si>
  <si>
    <t>CS_k_propres_n1</t>
  </si>
  <si>
    <t>CS_k_propres_n2</t>
  </si>
  <si>
    <t>tx_endette</t>
  </si>
  <si>
    <t>tx_endette_n1</t>
  </si>
  <si>
    <t>tx_endette_n2</t>
  </si>
  <si>
    <t>k_propres_passif</t>
  </si>
  <si>
    <t>k_propres_passif_n1</t>
  </si>
  <si>
    <t>k_propres_passif_n2</t>
  </si>
  <si>
    <t>variation_cap</t>
  </si>
  <si>
    <t>vetuste</t>
  </si>
  <si>
    <t>vetuste_n1</t>
  </si>
  <si>
    <t>vetuste_n2</t>
  </si>
  <si>
    <t>Num_gest</t>
  </si>
  <si>
    <t>Capitaux_Permanent</t>
  </si>
  <si>
    <t>Capitaux_Permanent_n1</t>
  </si>
  <si>
    <t>Capitaux_Permanent_n2</t>
  </si>
  <si>
    <t>Creance_1an</t>
  </si>
  <si>
    <t>Creance_1an_n1</t>
  </si>
  <si>
    <t>Creance_1an_n2</t>
  </si>
  <si>
    <t>Emprunt_recevoir</t>
  </si>
  <si>
    <t>Emprunt_recevoir_n1</t>
  </si>
  <si>
    <t>Emprunt_recevoir_n2</t>
  </si>
  <si>
    <t>Emprunt_anticipation</t>
  </si>
  <si>
    <t>Emprunt_anticipation_n1</t>
  </si>
  <si>
    <t>Emprunt_anticipation_n2</t>
  </si>
  <si>
    <t>provision_creance_n</t>
  </si>
  <si>
    <t>provision_creance_n1</t>
  </si>
  <si>
    <t>entretien_valBruteMateriel_n</t>
  </si>
  <si>
    <t>entretien_valBruteMateriel_n1</t>
  </si>
  <si>
    <t>entretien_valBruteMateriel_n2</t>
  </si>
  <si>
    <t>valBruteMateriel_amort_n</t>
  </si>
  <si>
    <t>valBruteMateriel_amort_n1</t>
  </si>
  <si>
    <t>valBruteMateriel_amort_n2</t>
  </si>
  <si>
    <t>CAF_CA_n</t>
  </si>
  <si>
    <t>CAF_CA_n1</t>
  </si>
  <si>
    <t>CAF_CA_n2</t>
  </si>
  <si>
    <t>Creance_CA_TTC_n</t>
  </si>
  <si>
    <t>Creance_CA_TTC_n1</t>
  </si>
  <si>
    <t>Creance_CA_TTC_n2</t>
  </si>
  <si>
    <t>Investissement_moy_N_n1_n2</t>
  </si>
  <si>
    <t>Investissement_moy_N_n1_n2_Sur_N3</t>
  </si>
  <si>
    <t>Immo_n</t>
  </si>
  <si>
    <t>Immo_n1</t>
  </si>
  <si>
    <t>Immo_n2</t>
  </si>
  <si>
    <t>ResultatIS_n</t>
  </si>
  <si>
    <t>ResultatIS_n1</t>
  </si>
  <si>
    <t>ResultatIS_n2</t>
  </si>
  <si>
    <t>01/01/2000</t>
  </si>
  <si>
    <t>Compte=(6-656;658-674;676-756;758-774;776-79) credit=positif</t>
  </si>
  <si>
    <t>Compte=(775;757) credit=positif</t>
  </si>
  <si>
    <t>compte=(70;74-746;748-749;60;61;62;63;64)</t>
  </si>
  <si>
    <t>Compte=(164-16400;16402-16410;16412-16420;16422-16430;16432-16440;16442-16450;16452-16460;16462-16470;16472-16479;16482-16490;16492-16499;162)</t>
  </si>
  <si>
    <t>Compte=(16401;16411;16421;16431;16441;16451;16461;16471;16480;16481;16491) credit=positif</t>
  </si>
  <si>
    <t>plu ou moins value</t>
  </si>
  <si>
    <t>compte=(657;757) credit=positif</t>
  </si>
  <si>
    <t>plu_moins_value_n</t>
  </si>
  <si>
    <t>plu_moins_value_n1</t>
  </si>
  <si>
    <t>plu_moins_value_n2</t>
  </si>
  <si>
    <t>res_courant_plu_val_n</t>
  </si>
  <si>
    <t>res_courant_plu_val_n1</t>
  </si>
  <si>
    <t>res_courant_plu_val_n2</t>
  </si>
  <si>
    <t>Compte=(6-66;68-686;688-689;7-76;78-786;788-79)</t>
  </si>
  <si>
    <r>
      <t>Compte=(6063;60211;603211;60223;60322;615;7581;7587;7912)</t>
    </r>
    <r>
      <rPr>
        <sz val="9"/>
        <color rgb="FF000000"/>
        <rFont val="Calibri"/>
        <family val="2"/>
        <charset val="1"/>
      </rPr>
      <t xml:space="preserve"> credit=negatif</t>
    </r>
  </si>
  <si>
    <t xml:space="preserve">   64</t>
  </si>
  <si>
    <t/>
  </si>
  <si>
    <t>clot</t>
  </si>
  <si>
    <t>GDROOT</t>
  </si>
  <si>
    <t>Guide gestion</t>
  </si>
  <si>
    <t>01/01/2025</t>
  </si>
  <si>
    <t>01/01/2024</t>
  </si>
  <si>
    <t>01/01/2023</t>
  </si>
  <si>
    <t>01/01/2022</t>
  </si>
  <si>
    <t>31/12/2025</t>
  </si>
  <si>
    <t>31/12/2024</t>
  </si>
  <si>
    <t>31/12/2023</t>
  </si>
  <si>
    <t>31/12/2022</t>
  </si>
  <si>
    <t>CUMA DE TEST</t>
  </si>
  <si>
    <t>TEST999001</t>
  </si>
  <si>
    <t>PARIS</t>
  </si>
  <si>
    <t>AGR999001</t>
  </si>
  <si>
    <t>Ali BABA</t>
  </si>
  <si>
    <t>01.02.03.04.05</t>
  </si>
  <si>
    <t>ali.baba@Cuma.fr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</si>
</sst>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0C]#,##0&quot;   &quot;;[Red]\-#,##0&quot;   &quot;"/>
    <numFmt numFmtId="165" formatCode="\$#,##0\ ;[Red]&quot;($&quot;#,##0\)"/>
    <numFmt numFmtId="166" formatCode="#,##0.00\ [$€-40C];[Red]\-#,##0.00\ [$€-40C]"/>
    <numFmt numFmtId="167" formatCode="[$-40C]dd/mm/yyyy"/>
    <numFmt numFmtId="178" formatCode="###,###,###,###,###,###,###,###,##0.00"/>
  </numFmts>
  <fonts count="33"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FF9900"/>
      <name val="Calibri"/>
      <family val="2"/>
      <charset val="1"/>
    </font>
    <font>
      <sz val="11"/>
      <color rgb="FFFF9900"/>
      <name val="Calibri"/>
      <family val="2"/>
      <charset val="1"/>
    </font>
    <font>
      <sz val="10"/>
      <color rgb="FF000000"/>
      <name val="Arial1"/>
      <charset val="1"/>
    </font>
    <font>
      <sz val="9"/>
      <color rgb="FF000000"/>
      <name val="Times New Roman"/>
      <family val="1"/>
      <charset val="1"/>
    </font>
    <font>
      <sz val="11"/>
      <color rgb="FF333399"/>
      <name val="Calibri"/>
      <family val="2"/>
      <charset val="1"/>
    </font>
    <font>
      <b/>
      <sz val="12"/>
      <color rgb="FF000000"/>
      <name val="Arial1"/>
      <charset val="1"/>
    </font>
    <font>
      <b/>
      <i/>
      <sz val="16"/>
      <color rgb="FF000000"/>
      <name val="Calibri"/>
      <family val="2"/>
      <charset val="1"/>
    </font>
    <font>
      <sz val="11"/>
      <color rgb="FF800080"/>
      <name val="Calibri"/>
      <family val="2"/>
      <charset val="1"/>
    </font>
    <font>
      <sz val="11"/>
      <color rgb="FF993300"/>
      <name val="Calibri"/>
      <family val="2"/>
      <charset val="1"/>
    </font>
    <font>
      <b/>
      <i/>
      <u/>
      <sz val="11"/>
      <color rgb="FF000000"/>
      <name val="Calibri"/>
      <family val="2"/>
      <charset val="1"/>
    </font>
    <font>
      <sz val="8"/>
      <color rgb="FF800000"/>
      <name val="Century Schoolbook"/>
      <family val="1"/>
      <charset val="1"/>
    </font>
    <font>
      <sz val="11"/>
      <color rgb="FF008000"/>
      <name val="Calibri"/>
      <family val="2"/>
      <charset val="1"/>
    </font>
    <font>
      <b/>
      <i/>
      <sz val="10"/>
      <color rgb="FF000000"/>
      <name val="Times New Roman"/>
      <family val="1"/>
      <charset val="1"/>
    </font>
    <font>
      <b/>
      <sz val="11"/>
      <color rgb="FF333333"/>
      <name val="Calibri"/>
      <family val="2"/>
      <charset val="1"/>
    </font>
    <font>
      <i/>
      <sz val="11"/>
      <color rgb="FF808080"/>
      <name val="Calibri"/>
      <family val="2"/>
      <charset val="1"/>
    </font>
    <font>
      <b/>
      <sz val="9"/>
      <color rgb="FF000000"/>
      <name val="Times New Roman"/>
      <family val="1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sz val="9"/>
      <color rgb="FF000000"/>
      <name val="Calibri"/>
      <family val="2"/>
      <charset val="1"/>
    </font>
    <font>
      <b/>
      <sz val="13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</fills>
  <borders count="1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rgb="FF333399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67">
    <xf numFmtId="0" fontId="0" fillId="0" borderId="0"/>
    <xf numFmtId="0" fontId="31" fillId="2" borderId="0"/>
    <xf numFmtId="0" fontId="31" fillId="3" borderId="0"/>
    <xf numFmtId="0" fontId="31" fillId="4" borderId="0"/>
    <xf numFmtId="0" fontId="31" fillId="5" borderId="0"/>
    <xf numFmtId="0" fontId="31" fillId="6" borderId="0"/>
    <xf numFmtId="0" fontId="31" fillId="7" borderId="0"/>
    <xf numFmtId="0" fontId="31" fillId="8" borderId="0"/>
    <xf numFmtId="0" fontId="31" fillId="9" borderId="0"/>
    <xf numFmtId="0" fontId="31" fillId="10" borderId="0"/>
    <xf numFmtId="0" fontId="31" fillId="5" borderId="0"/>
    <xf numFmtId="0" fontId="31" fillId="8" borderId="0"/>
    <xf numFmtId="0" fontId="31" fillId="11" borderId="0"/>
    <xf numFmtId="0" fontId="1" fillId="12" borderId="0"/>
    <xf numFmtId="0" fontId="1" fillId="9" borderId="0"/>
    <xf numFmtId="0" fontId="1" fillId="10" borderId="0"/>
    <xf numFmtId="0" fontId="1" fillId="13" borderId="0"/>
    <xf numFmtId="0" fontId="1" fillId="14" borderId="0"/>
    <xf numFmtId="0" fontId="1" fillId="15" borderId="0"/>
    <xf numFmtId="0" fontId="1" fillId="16" borderId="0"/>
    <xf numFmtId="0" fontId="1" fillId="17" borderId="0"/>
    <xf numFmtId="0" fontId="1" fillId="18" borderId="0"/>
    <xf numFmtId="0" fontId="1" fillId="13" borderId="0"/>
    <xf numFmtId="0" fontId="1" fillId="14" borderId="0"/>
    <xf numFmtId="0" fontId="1" fillId="19" borderId="0"/>
    <xf numFmtId="0" fontId="2" fillId="0" borderId="0"/>
    <xf numFmtId="0" fontId="3" fillId="20" borderId="1"/>
    <xf numFmtId="0" fontId="4" fillId="0" borderId="2"/>
    <xf numFmtId="164" fontId="5" fillId="0" borderId="0"/>
    <xf numFmtId="164" fontId="5" fillId="0" borderId="0"/>
    <xf numFmtId="0" fontId="31" fillId="21" borderId="3"/>
    <xf numFmtId="0" fontId="31" fillId="21" borderId="3"/>
    <xf numFmtId="165" fontId="5" fillId="0" borderId="0"/>
    <xf numFmtId="165" fontId="5" fillId="0" borderId="0"/>
    <xf numFmtId="0" fontId="6" fillId="0" borderId="0">
      <alignment horizontal="left"/>
    </xf>
    <xf numFmtId="0" fontId="6" fillId="0" borderId="0">
      <alignment horizontal="left"/>
    </xf>
    <xf numFmtId="0" fontId="7" fillId="7" borderId="1"/>
    <xf numFmtId="0" fontId="8" fillId="0" borderId="4"/>
    <xf numFmtId="0" fontId="8" fillId="0" borderId="4"/>
    <xf numFmtId="0" fontId="8" fillId="0" borderId="4">
      <alignment horizontal="left" vertical="center"/>
    </xf>
    <xf numFmtId="0" fontId="8" fillId="0" borderId="4">
      <alignment horizontal="left" vertical="center"/>
    </xf>
    <xf numFmtId="0" fontId="9" fillId="0" borderId="0">
      <alignment horizontal="center" textRotation="90"/>
    </xf>
    <xf numFmtId="0" fontId="10" fillId="3" borderId="0"/>
    <xf numFmtId="0" fontId="11" fillId="22" borderId="0"/>
    <xf numFmtId="4" fontId="6" fillId="0" borderId="0">
      <alignment horizontal="right"/>
    </xf>
    <xf numFmtId="4" fontId="6" fillId="0" borderId="0">
      <alignment horizontal="right"/>
    </xf>
    <xf numFmtId="0" fontId="12" fillId="0" borderId="0"/>
    <xf numFmtId="166" fontId="12" fillId="0" borderId="0"/>
    <xf numFmtId="4" fontId="13" fillId="0" borderId="0">
      <alignment horizontal="right"/>
    </xf>
    <xf numFmtId="4" fontId="13" fillId="0" borderId="0">
      <alignment horizontal="right"/>
    </xf>
    <xf numFmtId="0" fontId="14" fillId="4" borderId="0"/>
    <xf numFmtId="0" fontId="15" fillId="0" borderId="0">
      <alignment horizontal="left"/>
    </xf>
    <xf numFmtId="0" fontId="15" fillId="0" borderId="0">
      <alignment horizontal="left"/>
    </xf>
    <xf numFmtId="0" fontId="16" fillId="20" borderId="5"/>
    <xf numFmtId="0" fontId="17" fillId="0" borderId="0"/>
    <xf numFmtId="0" fontId="18" fillId="0" borderId="0">
      <alignment horizontal="center"/>
    </xf>
    <xf numFmtId="0" fontId="18" fillId="0" borderId="0">
      <alignment horizontal="center"/>
    </xf>
    <xf numFmtId="0" fontId="19" fillId="0" borderId="6"/>
    <xf numFmtId="0" fontId="20" fillId="0" borderId="7"/>
    <xf numFmtId="0" fontId="21" fillId="0" borderId="8"/>
    <xf numFmtId="0" fontId="21" fillId="0" borderId="0"/>
    <xf numFmtId="0" fontId="22" fillId="0" borderId="9"/>
    <xf numFmtId="0" fontId="23" fillId="23" borderId="10"/>
    <xf numFmtId="0" fontId="5" fillId="0" borderId="0"/>
    <xf numFmtId="0" fontId="5" fillId="0" borderId="0"/>
    <xf numFmtId="0" fontId="5" fillId="0" borderId="0"/>
    <xf numFmtId="0" fontId="32" fillId="0" borderId="0" applyNumberFormat="0" applyFill="0" applyBorder="0" applyAlignment="0" applyProtection="0"/>
  </cellStyleXfs>
  <cellXfs count="219">
    <xf numFmtId="0" fontId="0" fillId="0" borderId="0" xfId="0"/>
    <xf numFmtId="0" fontId="0" fillId="0" borderId="0" xfId="0" applyAlignment="1" applyProtection="1"/>
    <xf numFmtId="0" fontId="24" fillId="0" borderId="0" xfId="63" applyFont="1" applyAlignment="1" applyProtection="1"/>
    <xf numFmtId="0" fontId="25" fillId="0" borderId="0" xfId="0" applyFont="1" applyAlignment="1" applyProtection="1"/>
    <xf numFmtId="0" fontId="26" fillId="24" borderId="11" xfId="63" applyFont="1" applyFill="1" applyBorder="1" applyAlignment="1" applyProtection="1">
      <alignment horizontal="left"/>
    </xf>
    <xf numFmtId="0" fontId="24" fillId="0" borderId="12" xfId="63" applyFont="1" applyBorder="1" applyAlignment="1" applyProtection="1"/>
    <xf numFmtId="0" fontId="24" fillId="0" borderId="11" xfId="63" applyFont="1" applyBorder="1" applyAlignment="1" applyProtection="1"/>
    <xf numFmtId="0" fontId="24" fillId="0" borderId="15" xfId="63" applyFont="1" applyBorder="1" applyAlignment="1" applyProtection="1"/>
    <xf numFmtId="0" fontId="24" fillId="0" borderId="0" xfId="65" applyFont="1" applyAlignment="1" applyProtection="1"/>
    <xf numFmtId="0" fontId="30" fillId="0" borderId="11" xfId="63" applyFont="1" applyBorder="1" applyAlignment="1" applyProtection="1">
      <alignment horizontal="left"/>
    </xf>
    <xf numFmtId="167" fontId="0" fillId="0" borderId="0" xfId="0" applyNumberFormat="1" applyAlignment="1" applyProtection="1"/>
    <xf numFmtId="2" fontId="0" fillId="0" borderId="0" xfId="0" applyNumberFormat="1" applyAlignment="1" applyProtection="1"/>
    <xf numFmtId="2" fontId="0" fillId="25" borderId="0" xfId="0" applyNumberFormat="1" applyFill="1" applyAlignment="1" applyProtection="1"/>
    <xf numFmtId="3" fontId="0" fillId="0" borderId="0" xfId="0" applyNumberFormat="1" applyAlignment="1" applyProtection="1"/>
    <xf numFmtId="0" fontId="24" fillId="0" borderId="0" xfId="63" applyNumberFormat="1" applyFont="1" applyAlignment="1" applyProtection="1"/>
    <xf numFmtId="0" fontId="25" fillId="0" borderId="0" xfId="0" applyNumberFormat="1" applyFont="1" applyAlignment="1" applyProtection="1"/>
    <xf numFmtId="0" fontId="25" fillId="0" borderId="0" xfId="64" applyNumberFormat="1" applyFont="1" applyAlignment="1" applyProtection="1"/>
    <xf numFmtId="0" fontId="27" fillId="24" borderId="11" xfId="63" applyNumberFormat="1" applyFont="1" applyFill="1" applyBorder="1" applyAlignment="1" applyProtection="1"/>
    <xf numFmtId="0" fontId="24" fillId="0" borderId="11" xfId="63" applyNumberFormat="1" applyFont="1" applyBorder="1" applyAlignment="1" applyProtection="1"/>
    <xf numFmtId="0" fontId="24" fillId="0" borderId="14" xfId="63" applyNumberFormat="1" applyFont="1" applyBorder="1" applyAlignment="1" applyProtection="1"/>
    <xf numFmtId="0" fontId="28" fillId="24" borderId="11" xfId="63" applyNumberFormat="1" applyFont="1" applyFill="1" applyBorder="1" applyAlignment="1" applyProtection="1"/>
    <xf numFmtId="0" fontId="0" fillId="0" borderId="0" xfId="0" applyNumberFormat="1" applyAlignment="1" applyProtection="1"/>
    <xf numFmtId="0" fontId="25" fillId="0" borderId="0" xfId="64" quotePrefix="1" applyNumberFormat="1" applyFont="1" applyAlignment="1" applyProtection="1"/>
    <xf numFmtId="0" fontId="25" fillId="0" borderId="11" xfId="64" quotePrefix="1" applyNumberFormat="1" applyFont="1" applyBorder="1" applyAlignment="1" applyProtection="1"/>
    <xf numFmtId="0" fontId="0" fillId="0" borderId="11" xfId="0" applyBorder="1"/>
    <xf numFmtId="0" fontId="0" fillId="0" borderId="0" xfId="0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3" xfId="63" applyNumberFormat="1" applyFont="1" applyBorder="1"/>
    <xf numFmtId="178" fontId="24" fillId="0" borderId="13" xfId="63" applyNumberFormat="1" applyFont="1" applyBorder="1"/>
    <xf numFmtId="178" fontId="24" fillId="0" borderId="13" xfId="63" applyNumberFormat="1" applyFont="1" applyBorder="1"/>
    <xf numFmtId="178" fontId="24" fillId="0" borderId="13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4" xfId="63" applyNumberFormat="1" applyFont="1" applyBorder="1"/>
    <xf numFmtId="178" fontId="24" fillId="0" borderId="14" xfId="63" applyNumberFormat="1" applyFont="1" applyBorder="1"/>
    <xf numFmtId="178" fontId="24" fillId="0" borderId="14" xfId="63" applyNumberFormat="1" applyFont="1" applyBorder="1"/>
    <xf numFmtId="178" fontId="24" fillId="0" borderId="14" xfId="63" applyNumberFormat="1" applyFont="1" applyBorder="1"/>
    <xf numFmtId="178" fontId="24" fillId="0" borderId="14" xfId="63" applyNumberFormat="1" applyFont="1" applyBorder="1"/>
    <xf numFmtId="178" fontId="24" fillId="0" borderId="14" xfId="63" applyNumberFormat="1" applyFont="1" applyBorder="1"/>
    <xf numFmtId="178" fontId="24" fillId="0" borderId="14" xfId="63" applyNumberFormat="1" applyFont="1" applyBorder="1"/>
    <xf numFmtId="178" fontId="24" fillId="0" borderId="14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178" fontId="24" fillId="0" borderId="11" xfId="63" applyNumberFormat="1" applyFont="1" applyBorder="1"/>
    <xf numFmtId="0" fontId="32" fillId="0" borderId="0" xfId="66" applyNumberFormat="1" applyAlignment="1" applyProtection="1"/>
  </cellXfs>
  <cellStyles count="67">
    <cellStyle name="20 % - Accent1 1" xfId="1"/>
    <cellStyle name="20 % - Accent2 1" xfId="2"/>
    <cellStyle name="20 % - Accent3 1" xfId="3"/>
    <cellStyle name="20 % - Accent4 1" xfId="4"/>
    <cellStyle name="20 % - Accent5 1" xfId="5"/>
    <cellStyle name="20 % - Accent6 1" xfId="6"/>
    <cellStyle name="40 % - Accent1 1" xfId="7"/>
    <cellStyle name="40 % - Accent2 1" xfId="8"/>
    <cellStyle name="40 % - Accent3 1" xfId="9"/>
    <cellStyle name="40 % - Accent4 1" xfId="10"/>
    <cellStyle name="40 % - Accent5 1" xfId="11"/>
    <cellStyle name="40 % - Accent6 1" xfId="12"/>
    <cellStyle name="60 % - Accent1 1" xfId="13"/>
    <cellStyle name="60 % - Accent2 1" xfId="14"/>
    <cellStyle name="60 % - Accent3 1" xfId="15"/>
    <cellStyle name="60 % - Accent4 1" xfId="16"/>
    <cellStyle name="60 % - Accent5 1" xfId="17"/>
    <cellStyle name="60 % - Accent6 1" xfId="18"/>
    <cellStyle name="Accent1 1" xfId="19"/>
    <cellStyle name="Accent2 1" xfId="20"/>
    <cellStyle name="Accent3 1" xfId="21"/>
    <cellStyle name="Accent4 1" xfId="22"/>
    <cellStyle name="Accent5 1" xfId="23"/>
    <cellStyle name="Accent6 1" xfId="24"/>
    <cellStyle name="Avertissement 1" xfId="25"/>
    <cellStyle name="Calcul 1" xfId="26"/>
    <cellStyle name="Cellule liée 1" xfId="27"/>
    <cellStyle name="Comma [0]" xfId="28"/>
    <cellStyle name="Comma [0] 1" xfId="29"/>
    <cellStyle name="Commentaire" xfId="30"/>
    <cellStyle name="Commentaire 1" xfId="31"/>
    <cellStyle name="Currency [0]" xfId="32"/>
    <cellStyle name="Currency [0] 1" xfId="33"/>
    <cellStyle name="Entrée 1" xfId="36"/>
    <cellStyle name="entry" xfId="34"/>
    <cellStyle name="entry 1" xfId="35"/>
    <cellStyle name="Excel_BuiltIn_Normal 2" xfId="63"/>
    <cellStyle name="Excel_BuiltIn_Normal 2 1" xfId="64"/>
    <cellStyle name="Excel_BuiltIn_Normal 4" xfId="65"/>
    <cellStyle name="Header1" xfId="37"/>
    <cellStyle name="Header1 1" xfId="38"/>
    <cellStyle name="Header2" xfId="39"/>
    <cellStyle name="Header2 1" xfId="40"/>
    <cellStyle name="Insatisfaisant 1" xfId="42"/>
    <cellStyle name="Lien hypertexte" xfId="66" builtinId="8"/>
    <cellStyle name="Neutre 1" xfId="43"/>
    <cellStyle name="Normal" xfId="0" builtinId="0"/>
    <cellStyle name="price" xfId="44"/>
    <cellStyle name="price 1" xfId="45"/>
    <cellStyle name="Result 1" xfId="46"/>
    <cellStyle name="Résultat2" xfId="47"/>
    <cellStyle name="revised" xfId="48"/>
    <cellStyle name="revised 1" xfId="49"/>
    <cellStyle name="Satisfaisant 1" xfId="50"/>
    <cellStyle name="section" xfId="51"/>
    <cellStyle name="section 1" xfId="52"/>
    <cellStyle name="Sortie 1" xfId="53"/>
    <cellStyle name="Texte explicatif 1" xfId="54"/>
    <cellStyle name="title" xfId="55"/>
    <cellStyle name="title 1" xfId="56"/>
    <cellStyle name="Titre 1" xfId="41"/>
    <cellStyle name="Titre 1 1" xfId="57"/>
    <cellStyle name="Titre 2 1" xfId="58"/>
    <cellStyle name="Titre 3 1" xfId="59"/>
    <cellStyle name="Titre 4 1" xfId="60"/>
    <cellStyle name="Total 1" xfId="61"/>
    <cellStyle name="Vérification 1" xfId="6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19</xdr:col>
      <xdr:colOff>22320</xdr:colOff>
      <xdr:row>49</xdr:row>
      <xdr:rowOff>169920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13434120" cy="950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14</xdr:col>
      <xdr:colOff>99360</xdr:colOff>
      <xdr:row>49</xdr:row>
      <xdr:rowOff>185040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10632240" cy="9519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14</xdr:col>
      <xdr:colOff>100080</xdr:colOff>
      <xdr:row>49</xdr:row>
      <xdr:rowOff>185760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10632960" cy="9520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14</xdr:col>
      <xdr:colOff>100800</xdr:colOff>
      <xdr:row>49</xdr:row>
      <xdr:rowOff>186480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10633680" cy="9520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14</xdr:col>
      <xdr:colOff>102240</xdr:colOff>
      <xdr:row>49</xdr:row>
      <xdr:rowOff>187920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10635120" cy="9522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14</xdr:col>
      <xdr:colOff>102600</xdr:colOff>
      <xdr:row>49</xdr:row>
      <xdr:rowOff>188280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0" y="0"/>
          <a:ext cx="10635480" cy="9522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14</xdr:col>
      <xdr:colOff>102960</xdr:colOff>
      <xdr:row>49</xdr:row>
      <xdr:rowOff>188640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0" y="0"/>
          <a:ext cx="10635840" cy="9523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113400</xdr:colOff>
      <xdr:row>49</xdr:row>
      <xdr:rowOff>189360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0" y="0"/>
          <a:ext cx="10062000" cy="9523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13</xdr:col>
      <xdr:colOff>113760</xdr:colOff>
      <xdr:row>49</xdr:row>
      <xdr:rowOff>189720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0" y="0"/>
          <a:ext cx="10062360" cy="9524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i.baba@Cuma.f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107"/>
  <sheetViews>
    <sheetView zoomScaleNormal="100" workbookViewId="0">
      <selection activeCell="C11" sqref="C11"/>
    </sheetView>
  </sheetViews>
  <sheetFormatPr baseColWidth="10" defaultColWidth="8.7109375" defaultRowHeight="15"/>
  <cols>
    <col min="1" max="1" width="32.85546875" style="1" customWidth="1"/>
    <col min="2" max="2" width="59.140625" style="1" customWidth="1"/>
    <col min="3" max="3" width="13" style="21" customWidth="1"/>
    <col min="4" max="6" width="11.5703125" style="21" customWidth="1"/>
    <col min="7" max="1025" width="11.5703125" style="1" customWidth="1"/>
  </cols>
  <sheetData>
    <row r="1" spans="1:7" s="3" customFormat="1">
      <c r="A1" s="2"/>
      <c r="B1" s="2" t="s">
        <v>0</v>
      </c>
      <c r="C1" s="14" t="s">
        <v>307</v>
      </c>
      <c r="D1" s="15"/>
      <c r="E1" s="15"/>
      <c r="F1" s="15"/>
      <c r="G1">
        <v>999003</v>
      </c>
    </row>
    <row r="2" spans="1:7" s="3" customFormat="1">
      <c r="A2" s="2"/>
      <c r="B2" s="2" t="s">
        <v>1</v>
      </c>
      <c r="C2" s="14" t="s">
        <v>308</v>
      </c>
      <c r="D2" s="15"/>
      <c r="E2" s="15"/>
      <c r="F2" s="15"/>
      <c r="G2">
        <v>999356</v>
      </c>
    </row>
    <row r="3" spans="1:7" s="3" customFormat="1">
      <c r="A3" s="2"/>
      <c r="B3" s="2" t="s">
        <v>2</v>
      </c>
      <c r="C3" s="14" t="s">
        <v>309</v>
      </c>
      <c r="D3" s="15"/>
      <c r="E3" s="15"/>
      <c r="F3" s="15"/>
      <c r="G3" t="s">
        <v>295</v>
      </c>
    </row>
    <row r="4" spans="1:7" s="3" customFormat="1">
      <c r="A4" s="2"/>
      <c r="B4" s="2" t="s">
        <v>3</v>
      </c>
      <c r="C4" s="14" t="s">
        <v>310</v>
      </c>
      <c r="D4" s="15"/>
      <c r="E4" s="15"/>
      <c r="F4" s="15"/>
      <c r="G4">
        <v>999001</v>
      </c>
    </row>
    <row r="5" spans="1:7" s="3" customFormat="1">
      <c r="A5" s="2"/>
      <c r="B5" s="2" t="s">
        <v>4</v>
      </c>
      <c r="C5" s="14" t="s">
        <v>295</v>
      </c>
      <c r="D5" s="15"/>
      <c r="E5" s="15"/>
      <c r="F5" s="15"/>
      <c r="G5">
        <v>75</v>
      </c>
    </row>
    <row r="6" spans="1:7" s="3" customFormat="1">
      <c r="A6" s="2"/>
      <c r="B6" s="2" t="s">
        <v>5</v>
      </c>
      <c r="C6" s="14" t="s">
        <v>296</v>
      </c>
      <c r="D6" s="15"/>
      <c r="E6" s="15"/>
      <c r="F6" s="15"/>
      <c r="G6" t="s">
        <v>297</v>
      </c>
    </row>
    <row r="7" spans="1:7" s="3" customFormat="1">
      <c r="A7" s="2"/>
      <c r="B7" s="2" t="s">
        <v>6</v>
      </c>
      <c r="C7" s="14" t="s">
        <v>296</v>
      </c>
      <c r="D7" s="15"/>
      <c r="E7" s="15"/>
      <c r="F7" s="15"/>
      <c r="G7" t="s">
        <v>298</v>
      </c>
    </row>
    <row r="8" spans="1:7" s="3" customFormat="1" ht="14.25">
      <c r="A8" s="2"/>
      <c r="B8" s="2" t="s">
        <v>7</v>
      </c>
      <c r="C8" s="14" t="s">
        <v>311</v>
      </c>
      <c r="D8" s="15"/>
      <c r="E8" s="15"/>
      <c r="F8" s="15"/>
    </row>
    <row r="9" spans="1:7" s="3" customFormat="1" ht="14.25">
      <c r="A9" s="2"/>
      <c r="B9" s="2" t="s">
        <v>8</v>
      </c>
      <c r="C9" s="14" t="s">
        <v>312</v>
      </c>
      <c r="D9" s="15"/>
      <c r="E9" s="15"/>
      <c r="F9" s="15"/>
    </row>
    <row r="10" spans="1:7" s="3" customFormat="1">
      <c r="A10" s="2"/>
      <c r="B10" s="2" t="s">
        <v>9</v>
      </c>
      <c r="C10" s="218" t="s">
        <v>313</v>
      </c>
      <c r="D10" s="15"/>
      <c r="E10" s="15"/>
      <c r="F10" s="15"/>
    </row>
    <row r="11" spans="1:7" s="3" customFormat="1" ht="14.25">
      <c r="A11" s="2"/>
      <c r="B11" s="2" t="s">
        <v>10</v>
      </c>
      <c r="C11" s="14" t="s">
        <v>294</v>
      </c>
      <c r="D11" s="15"/>
      <c r="E11" s="15"/>
      <c r="F11" s="15"/>
    </row>
    <row r="12" spans="1:7" s="3" customFormat="1" ht="14.25">
      <c r="A12" s="2" t="s">
        <v>11</v>
      </c>
      <c r="B12" s="2"/>
      <c r="C12" s="22" t="s">
        <v>299</v>
      </c>
      <c r="D12" s="22" t="s">
        <v>300</v>
      </c>
      <c r="E12" s="22" t="s">
        <v>301</v>
      </c>
      <c r="F12" s="22" t="s">
        <v>302</v>
      </c>
    </row>
    <row r="13" spans="1:7" s="3" customFormat="1" ht="14.25">
      <c r="A13" s="2" t="s">
        <v>12</v>
      </c>
      <c r="B13" s="2"/>
      <c r="C13" s="22" t="s">
        <v>303</v>
      </c>
      <c r="D13" s="22" t="s">
        <v>304</v>
      </c>
      <c r="E13" s="22" t="s">
        <v>305</v>
      </c>
      <c r="F13" s="22" t="s">
        <v>306</v>
      </c>
    </row>
    <row r="14" spans="1:7" s="3" customFormat="1" ht="16.5">
      <c r="A14" s="2"/>
      <c r="B14" s="4" t="s">
        <v>13</v>
      </c>
      <c r="C14" s="17"/>
      <c r="D14" s="15"/>
      <c r="E14" s="15"/>
      <c r="F14" s="15"/>
    </row>
    <row r="15" spans="1:7" s="3" customFormat="1" ht="14.25">
      <c r="A15" s="2" t="s">
        <v>14</v>
      </c>
      <c r="B15" s="5" t="s">
        <v>15</v>
      </c>
      <c r="C15" s="26">
        <v>562308.94999999995</v>
      </c>
      <c r="D15" s="27">
        <v>500655.03</v>
      </c>
      <c r="E15" s="28">
        <v>517570.12</v>
      </c>
      <c r="F15" s="29">
        <v>418996.4</v>
      </c>
    </row>
    <row r="16" spans="1:7" s="3" customFormat="1">
      <c r="A16" s="24" t="s">
        <v>281</v>
      </c>
      <c r="B16" s="6" t="s">
        <v>16</v>
      </c>
      <c r="C16" s="30">
        <v>235445.07</v>
      </c>
      <c r="D16" s="31">
        <v>223675.74</v>
      </c>
      <c r="E16" s="32">
        <v>261796.64</v>
      </c>
      <c r="F16" s="33">
        <v>207917.37</v>
      </c>
    </row>
    <row r="17" spans="1:6" s="3" customFormat="1" ht="14.25">
      <c r="A17" s="2" t="s">
        <v>292</v>
      </c>
      <c r="B17" s="6" t="s">
        <v>17</v>
      </c>
      <c r="C17" s="34">
        <v>234249.79</v>
      </c>
      <c r="D17" s="35">
        <v>-1379.57</v>
      </c>
      <c r="E17" s="36">
        <v>64422.42</v>
      </c>
      <c r="F17" s="37">
        <v>16236.84</v>
      </c>
    </row>
    <row r="18" spans="1:6" s="3" customFormat="1" ht="14.25">
      <c r="A18" s="2" t="s">
        <v>18</v>
      </c>
      <c r="B18" s="6" t="s">
        <v>19</v>
      </c>
      <c r="C18" s="38">
        <v>0</v>
      </c>
      <c r="D18" s="39">
        <v>0</v>
      </c>
      <c r="E18" s="40">
        <v>0</v>
      </c>
      <c r="F18" s="41">
        <v>0</v>
      </c>
    </row>
    <row r="19" spans="1:6" s="3" customFormat="1" ht="14.25">
      <c r="A19" s="2" t="s">
        <v>20</v>
      </c>
      <c r="B19" s="6" t="s">
        <v>21</v>
      </c>
      <c r="C19" s="42">
        <v>118480.12</v>
      </c>
      <c r="D19" s="43">
        <v>11409.29</v>
      </c>
      <c r="E19" s="44">
        <v>27443.23</v>
      </c>
      <c r="F19" s="45">
        <v>-29391.43</v>
      </c>
    </row>
    <row r="20" spans="1:6" s="3" customFormat="1" ht="14.25">
      <c r="A20" s="2"/>
      <c r="B20" s="7" t="s">
        <v>22</v>
      </c>
      <c r="C20" s="19">
        <f>C17+C19+C18</f>
        <v>352729.91000000003</v>
      </c>
      <c r="D20" s="19">
        <f>D17+D19+D18</f>
        <v>10029.720000000001</v>
      </c>
      <c r="E20" s="19">
        <f>E17+E19+E18</f>
        <v>91865.65</v>
      </c>
      <c r="F20" s="19">
        <f>F17+F19+F18</f>
        <v>-13154.59</v>
      </c>
    </row>
    <row r="21" spans="1:6" s="3" customFormat="1" ht="16.5">
      <c r="A21" s="2"/>
      <c r="B21" s="4" t="s">
        <v>23</v>
      </c>
      <c r="C21" s="20"/>
      <c r="D21" s="20"/>
      <c r="E21" s="20"/>
      <c r="F21" s="20"/>
    </row>
    <row r="22" spans="1:6" s="3" customFormat="1" ht="14.25">
      <c r="A22" s="2" t="s">
        <v>24</v>
      </c>
      <c r="B22" s="6" t="s">
        <v>25</v>
      </c>
      <c r="C22" s="46">
        <v>562308.94999999995</v>
      </c>
      <c r="D22" s="47">
        <v>500655.03</v>
      </c>
      <c r="E22" s="48">
        <v>517570.12</v>
      </c>
      <c r="F22" s="49">
        <v>418996.4</v>
      </c>
    </row>
    <row r="23" spans="1:6" s="3" customFormat="1" ht="14.25">
      <c r="A23" s="2" t="s">
        <v>26</v>
      </c>
      <c r="B23" s="6" t="s">
        <v>27</v>
      </c>
      <c r="C23" s="50">
        <v>291429.01</v>
      </c>
      <c r="D23" s="51">
        <v>267485.71000000002</v>
      </c>
      <c r="E23" s="52">
        <v>270858.68</v>
      </c>
      <c r="F23" s="53">
        <v>185654.28</v>
      </c>
    </row>
    <row r="24" spans="1:6" s="3" customFormat="1" ht="14.25">
      <c r="A24" s="2" t="s">
        <v>293</v>
      </c>
      <c r="B24" s="6" t="s">
        <v>28</v>
      </c>
      <c r="C24" s="54">
        <v>93716.75</v>
      </c>
      <c r="D24" s="55">
        <v>80962.240000000005</v>
      </c>
      <c r="E24" s="56">
        <v>68307.679999999993</v>
      </c>
      <c r="F24" s="57">
        <v>63996.28</v>
      </c>
    </row>
    <row r="25" spans="1:6" s="3" customFormat="1" ht="14.25">
      <c r="A25" s="2"/>
      <c r="B25" s="6" t="s">
        <v>29</v>
      </c>
      <c r="C25" s="18">
        <f>IF(C22=0,0,C24/C22*100)</f>
        <v>16.666416211230501</v>
      </c>
      <c r="D25" s="18">
        <f>IF(D22=0,0,D24/D22*100)</f>
        <v>16.171262675619179</v>
      </c>
      <c r="E25" s="18">
        <f>IF(E22=0,0,E24/E22*100)</f>
        <v>13.197763425755721</v>
      </c>
      <c r="F25" s="18">
        <f>IF(F22=0,0,F24/F22*100)</f>
        <v>15.273706408933347</v>
      </c>
    </row>
    <row r="26" spans="1:6" s="3" customFormat="1" ht="14.25">
      <c r="A26" s="2" t="s">
        <v>30</v>
      </c>
      <c r="B26" s="6" t="s">
        <v>31</v>
      </c>
      <c r="C26" s="58">
        <v>0</v>
      </c>
      <c r="D26" s="59">
        <v>187408.12</v>
      </c>
      <c r="E26" s="60">
        <v>178752.87</v>
      </c>
      <c r="F26" s="61">
        <v>169664.89</v>
      </c>
    </row>
    <row r="27" spans="1:6" s="3" customFormat="1" ht="14.25">
      <c r="A27" s="2"/>
      <c r="B27" s="6" t="s">
        <v>32</v>
      </c>
      <c r="C27" s="18">
        <f>IF(C22=0,0,C26/C22*100)</f>
        <v>0</v>
      </c>
      <c r="D27" s="18">
        <f>IF(D22=0,0,D26/D22*100)</f>
        <v>37.432585067606325</v>
      </c>
      <c r="E27" s="18">
        <f>IF(E22=0,0,E26/E22*100)</f>
        <v>34.536937719665886</v>
      </c>
      <c r="F27" s="18">
        <f>IF(F22=0,0,F26/F22*100)</f>
        <v>40.493161755089069</v>
      </c>
    </row>
    <row r="28" spans="1:6" s="3" customFormat="1" ht="14.25">
      <c r="A28" s="2" t="s">
        <v>33</v>
      </c>
      <c r="B28" s="6" t="s">
        <v>34</v>
      </c>
      <c r="C28" s="62">
        <v>67728.850000000006</v>
      </c>
      <c r="D28" s="63">
        <v>32405.75</v>
      </c>
      <c r="E28" s="64">
        <v>36312.800000000003</v>
      </c>
      <c r="F28" s="65">
        <v>32604.53</v>
      </c>
    </row>
    <row r="29" spans="1:6" s="3" customFormat="1" ht="14.25">
      <c r="A29" s="2"/>
      <c r="B29" s="6" t="s">
        <v>35</v>
      </c>
      <c r="C29" s="18">
        <f>IF(C22=0,0,C28/C22*100)</f>
        <v>12.044775385488709</v>
      </c>
      <c r="D29" s="18">
        <f>IF(GuideGestion!D22=0,0,D28/GuideGestion!D22*100)</f>
        <v>6.472670413398224</v>
      </c>
      <c r="E29" s="18">
        <f>IF(GuideGestion!E22=0,0,E28/GuideGestion!E22*100)</f>
        <v>7.0160155304174063</v>
      </c>
      <c r="F29" s="18">
        <f>IF(GuideGestion!F22=0,0,F28/GuideGestion!F22*100)</f>
        <v>7.7815775982800801</v>
      </c>
    </row>
    <row r="30" spans="1:6" s="3" customFormat="1" ht="14.25">
      <c r="A30" s="2" t="s">
        <v>36</v>
      </c>
      <c r="B30" s="6" t="s">
        <v>37</v>
      </c>
      <c r="C30" s="66">
        <v>65706.47</v>
      </c>
      <c r="D30" s="67">
        <v>60001.4</v>
      </c>
      <c r="E30" s="68">
        <v>78623.72</v>
      </c>
      <c r="F30" s="69">
        <v>66412.52</v>
      </c>
    </row>
    <row r="31" spans="1:6" s="3" customFormat="1" ht="14.25">
      <c r="A31" s="2" t="s">
        <v>38</v>
      </c>
      <c r="B31" s="6" t="s">
        <v>39</v>
      </c>
      <c r="C31" s="70">
        <v>25126.49</v>
      </c>
      <c r="D31" s="71">
        <v>25599.09</v>
      </c>
      <c r="E31" s="72">
        <v>19672.66</v>
      </c>
      <c r="F31" s="73">
        <v>12972.81</v>
      </c>
    </row>
    <row r="32" spans="1:6" s="3" customFormat="1" ht="14.25">
      <c r="A32" s="2"/>
      <c r="B32" s="6" t="s">
        <v>40</v>
      </c>
      <c r="C32" s="18">
        <f>IF(C22=0,0,C31/C22*100)</f>
        <v>4.4684492395150395</v>
      </c>
      <c r="D32" s="18">
        <f>IF(GuideGestion!D22=0,0,D31/GuideGestion!D22*100)</f>
        <v>5.113119506659106</v>
      </c>
      <c r="E32" s="18">
        <f>IF(GuideGestion!E22=0,0,E31/GuideGestion!E22*100)</f>
        <v>3.8009651716370336</v>
      </c>
      <c r="F32" s="18">
        <f>IF(GuideGestion!F22=0,0,F31/GuideGestion!F22*100)</f>
        <v>3.0961626400608693</v>
      </c>
    </row>
    <row r="33" spans="1:6" s="3" customFormat="1" ht="16.5">
      <c r="A33" s="2"/>
      <c r="B33" s="4" t="s">
        <v>41</v>
      </c>
      <c r="C33" s="20"/>
      <c r="D33" s="20"/>
      <c r="E33" s="20"/>
      <c r="F33" s="20"/>
    </row>
    <row r="34" spans="1:6" s="3" customFormat="1">
      <c r="A34" s="24" t="s">
        <v>279</v>
      </c>
      <c r="B34" s="6" t="s">
        <v>42</v>
      </c>
      <c r="C34" s="74">
        <v>201729.91</v>
      </c>
      <c r="D34" s="75">
        <v>122.12</v>
      </c>
      <c r="E34" s="76">
        <v>64426.84</v>
      </c>
      <c r="F34" s="77">
        <v>16236.84</v>
      </c>
    </row>
    <row r="35" spans="1:6" s="3" customFormat="1" ht="14.25">
      <c r="A35" s="2" t="s">
        <v>43</v>
      </c>
      <c r="B35" s="6" t="s">
        <v>44</v>
      </c>
      <c r="C35" s="78">
        <v>0</v>
      </c>
      <c r="D35" s="79">
        <v>187487.67</v>
      </c>
      <c r="E35" s="80">
        <v>178752.87</v>
      </c>
      <c r="F35" s="81">
        <v>171832.73</v>
      </c>
    </row>
    <row r="36" spans="1:6" s="3" customFormat="1" ht="14.25">
      <c r="A36" s="2" t="s">
        <v>45</v>
      </c>
      <c r="B36" s="6" t="s">
        <v>46</v>
      </c>
      <c r="C36" s="82">
        <v>0</v>
      </c>
      <c r="D36" s="83">
        <v>790.39</v>
      </c>
      <c r="E36" s="84">
        <v>11561.63</v>
      </c>
      <c r="F36" s="85">
        <v>0</v>
      </c>
    </row>
    <row r="37" spans="1:6" s="3" customFormat="1" ht="14.25">
      <c r="A37" s="2"/>
      <c r="B37" s="6" t="s">
        <v>47</v>
      </c>
      <c r="C37" s="18">
        <f>C35-C36</f>
        <v>0</v>
      </c>
      <c r="D37" s="18">
        <f>D35-D36</f>
        <v>186697.28</v>
      </c>
      <c r="E37" s="18">
        <f>E35-E36</f>
        <v>167191.24</v>
      </c>
      <c r="F37" s="18">
        <f>F35-F36</f>
        <v>171832.73</v>
      </c>
    </row>
    <row r="38" spans="1:6" s="3" customFormat="1" ht="14.25">
      <c r="A38" s="2" t="s">
        <v>48</v>
      </c>
      <c r="B38" s="6"/>
      <c r="C38" s="18" t="s">
        <v>49</v>
      </c>
      <c r="D38" s="18" t="s">
        <v>49</v>
      </c>
      <c r="E38" s="18" t="s">
        <v>49</v>
      </c>
      <c r="F38" s="18" t="s">
        <v>49</v>
      </c>
    </row>
    <row r="39" spans="1:6" s="3" customFormat="1" ht="14.25">
      <c r="A39" s="2" t="s">
        <v>50</v>
      </c>
      <c r="B39" s="6" t="s">
        <v>51</v>
      </c>
      <c r="C39" s="86">
        <v>0</v>
      </c>
      <c r="D39" s="87">
        <v>0</v>
      </c>
      <c r="E39" s="88">
        <v>0</v>
      </c>
      <c r="F39" s="89">
        <v>139125.54999999999</v>
      </c>
    </row>
    <row r="40" spans="1:6" s="3" customFormat="1" ht="14.25">
      <c r="A40" s="2" t="s">
        <v>282</v>
      </c>
      <c r="B40" s="6" t="s">
        <v>52</v>
      </c>
      <c r="C40" s="90">
        <v>311005.33</v>
      </c>
      <c r="D40" s="91">
        <v>223791.05</v>
      </c>
      <c r="E40" s="92">
        <v>305674.89</v>
      </c>
      <c r="F40" s="93">
        <v>326325.96000000002</v>
      </c>
    </row>
    <row r="41" spans="1:6" s="3" customFormat="1" ht="14.25">
      <c r="A41" s="2"/>
      <c r="B41" s="6" t="s">
        <v>52</v>
      </c>
      <c r="C41" s="18">
        <f>C40-C39</f>
        <v>311005.33</v>
      </c>
      <c r="D41" s="18">
        <f>D40-D39</f>
        <v>223791.05</v>
      </c>
      <c r="E41" s="18">
        <f>E40-E39</f>
        <v>305674.89</v>
      </c>
      <c r="F41" s="18">
        <f>F40-F39</f>
        <v>187200.41000000003</v>
      </c>
    </row>
    <row r="42" spans="1:6" s="3" customFormat="1" ht="14.25">
      <c r="A42" s="2" t="s">
        <v>53</v>
      </c>
      <c r="B42" s="6" t="s">
        <v>54</v>
      </c>
      <c r="C42" s="94">
        <v>600907.92000000004</v>
      </c>
      <c r="D42" s="95">
        <v>143350</v>
      </c>
      <c r="E42" s="96">
        <v>387150</v>
      </c>
      <c r="F42" s="97">
        <v>757921</v>
      </c>
    </row>
    <row r="43" spans="1:6" s="3" customFormat="1" ht="14.25">
      <c r="A43" s="2" t="s">
        <v>55</v>
      </c>
      <c r="B43" s="6" t="s">
        <v>56</v>
      </c>
      <c r="C43" s="98">
        <v>574657.92000000004</v>
      </c>
      <c r="D43" s="99">
        <v>143350</v>
      </c>
      <c r="E43" s="100">
        <v>387150</v>
      </c>
      <c r="F43" s="101">
        <v>757921</v>
      </c>
    </row>
    <row r="44" spans="1:6" s="3" customFormat="1" ht="14.25">
      <c r="B44" s="6" t="s">
        <v>57</v>
      </c>
      <c r="C44" s="18">
        <f>C34+C37-C41</f>
        <v>-109275.42000000001</v>
      </c>
      <c r="D44" s="18">
        <f>D34+D37-D41</f>
        <v>-36971.649999999994</v>
      </c>
      <c r="E44" s="18">
        <f>E34+E37-E41</f>
        <v>-74056.810000000027</v>
      </c>
      <c r="F44" s="18">
        <f>F34+F37-F41</f>
        <v>869.15999999997439</v>
      </c>
    </row>
    <row r="45" spans="1:6" s="3" customFormat="1" ht="14.25">
      <c r="A45" s="3" t="s">
        <v>58</v>
      </c>
      <c r="B45" s="6" t="s">
        <v>59</v>
      </c>
      <c r="C45" s="102">
        <v>0</v>
      </c>
      <c r="D45" s="103">
        <v>25500.34</v>
      </c>
      <c r="E45" s="104">
        <v>10108.65</v>
      </c>
      <c r="F45" s="105">
        <v>23474.46</v>
      </c>
    </row>
    <row r="46" spans="1:6" s="3" customFormat="1" ht="14.25">
      <c r="A46" s="2" t="s">
        <v>48</v>
      </c>
      <c r="B46" s="6"/>
      <c r="C46" s="18" t="s">
        <v>60</v>
      </c>
      <c r="D46" s="18" t="s">
        <v>60</v>
      </c>
      <c r="E46" s="18" t="s">
        <v>60</v>
      </c>
      <c r="F46" s="18" t="s">
        <v>60</v>
      </c>
    </row>
    <row r="47" spans="1:6" s="3" customFormat="1" ht="14.25">
      <c r="A47" s="2" t="s">
        <v>61</v>
      </c>
      <c r="B47" s="6" t="s">
        <v>62</v>
      </c>
      <c r="C47" s="106">
        <v>68.849999999999994</v>
      </c>
      <c r="D47" s="107">
        <v>115.79</v>
      </c>
      <c r="E47" s="108">
        <v>44.37</v>
      </c>
      <c r="F47" s="109">
        <v>36.72</v>
      </c>
    </row>
    <row r="48" spans="1:6" s="3" customFormat="1">
      <c r="A48" s="24" t="s">
        <v>280</v>
      </c>
      <c r="B48" s="6" t="s">
        <v>63</v>
      </c>
      <c r="C48" s="110">
        <v>151000</v>
      </c>
      <c r="D48" s="111">
        <v>12000</v>
      </c>
      <c r="E48" s="112">
        <v>158300</v>
      </c>
      <c r="F48" s="113">
        <v>253000</v>
      </c>
    </row>
    <row r="49" spans="1:6" s="3" customFormat="1">
      <c r="A49" s="25" t="s">
        <v>285</v>
      </c>
      <c r="B49" s="6" t="s">
        <v>284</v>
      </c>
      <c r="C49" s="114">
        <v>32500</v>
      </c>
      <c r="D49" s="115">
        <v>0</v>
      </c>
      <c r="E49" s="116">
        <v>0</v>
      </c>
      <c r="F49" s="117">
        <v>0</v>
      </c>
    </row>
    <row r="50" spans="1:6" s="3" customFormat="1" ht="14.25">
      <c r="A50" s="2" t="s">
        <v>64</v>
      </c>
      <c r="B50" s="6" t="s">
        <v>65</v>
      </c>
      <c r="C50" s="118">
        <v>0</v>
      </c>
      <c r="D50" s="119">
        <v>10290</v>
      </c>
      <c r="E50" s="120">
        <v>5200</v>
      </c>
      <c r="F50" s="121">
        <v>-324</v>
      </c>
    </row>
    <row r="51" spans="1:6" s="3" customFormat="1" ht="14.25">
      <c r="A51" s="2" t="s">
        <v>48</v>
      </c>
      <c r="B51" s="6"/>
      <c r="C51" s="18" t="s">
        <v>66</v>
      </c>
      <c r="D51" s="18" t="s">
        <v>66</v>
      </c>
      <c r="E51" s="18" t="s">
        <v>66</v>
      </c>
      <c r="F51" s="18" t="s">
        <v>66</v>
      </c>
    </row>
    <row r="52" spans="1:6" s="3" customFormat="1" ht="14.25">
      <c r="A52" s="2" t="s">
        <v>282</v>
      </c>
      <c r="B52" s="6" t="s">
        <v>67</v>
      </c>
      <c r="C52" s="122">
        <v>566600</v>
      </c>
      <c r="D52" s="123">
        <v>112400</v>
      </c>
      <c r="E52" s="124">
        <v>779573.22</v>
      </c>
      <c r="F52" s="125">
        <v>61407</v>
      </c>
    </row>
    <row r="53" spans="1:6" s="3" customFormat="1" ht="14.25">
      <c r="A53" s="2" t="s">
        <v>68</v>
      </c>
      <c r="B53" s="6" t="s">
        <v>69</v>
      </c>
      <c r="C53" s="126">
        <v>0</v>
      </c>
      <c r="D53" s="127">
        <v>8439</v>
      </c>
      <c r="E53" s="128">
        <v>0</v>
      </c>
      <c r="F53" s="129">
        <v>0</v>
      </c>
    </row>
    <row r="54" spans="1:6" s="3" customFormat="1" ht="14.25">
      <c r="A54" s="2" t="s">
        <v>70</v>
      </c>
      <c r="B54" s="6" t="s">
        <v>71</v>
      </c>
      <c r="C54" s="130">
        <v>0</v>
      </c>
      <c r="D54" s="131">
        <v>0</v>
      </c>
      <c r="E54" s="132">
        <v>0</v>
      </c>
      <c r="F54" s="133">
        <v>409000</v>
      </c>
    </row>
    <row r="55" spans="1:6" s="3" customFormat="1" ht="14.25">
      <c r="A55" s="2"/>
      <c r="B55" s="6" t="s">
        <v>72</v>
      </c>
      <c r="C55" s="18">
        <f>C42+C47-C52-C48-C50-C53+C39</f>
        <v>-116623.22999999998</v>
      </c>
      <c r="D55" s="18">
        <f>D42+D47-D52-D48-D50-D53+D39</f>
        <v>336.79000000000815</v>
      </c>
      <c r="E55" s="18">
        <f>E42+E47-E52-E48-E50-E53+E39</f>
        <v>-555878.85</v>
      </c>
      <c r="F55" s="18">
        <f>F42+F47-F52-F48-F50-F53+F39</f>
        <v>583000.27</v>
      </c>
    </row>
    <row r="56" spans="1:6" s="3" customFormat="1" ht="14.25">
      <c r="A56" s="8" t="s">
        <v>48</v>
      </c>
      <c r="B56" s="6"/>
      <c r="C56" s="18" t="s">
        <v>60</v>
      </c>
      <c r="D56" s="18" t="s">
        <v>60</v>
      </c>
      <c r="E56" s="18" t="s">
        <v>60</v>
      </c>
      <c r="F56" s="18" t="s">
        <v>60</v>
      </c>
    </row>
    <row r="57" spans="1:6" s="3" customFormat="1" ht="14.25">
      <c r="A57" s="8" t="s">
        <v>73</v>
      </c>
      <c r="B57" s="6" t="s">
        <v>74</v>
      </c>
      <c r="C57" s="134">
        <v>0</v>
      </c>
      <c r="D57" s="135">
        <v>-79.55</v>
      </c>
      <c r="E57" s="136">
        <v>0</v>
      </c>
      <c r="F57" s="137">
        <v>-2167.84</v>
      </c>
    </row>
    <row r="58" spans="1:6" s="3" customFormat="1" ht="14.25">
      <c r="A58" s="8" t="s">
        <v>75</v>
      </c>
      <c r="B58" s="6" t="s">
        <v>74</v>
      </c>
      <c r="C58" s="138">
        <v>0</v>
      </c>
      <c r="D58" s="139">
        <v>0</v>
      </c>
      <c r="E58" s="140">
        <v>11561.63</v>
      </c>
      <c r="F58" s="141">
        <v>0</v>
      </c>
    </row>
    <row r="59" spans="1:6" s="3" customFormat="1" ht="14.25">
      <c r="B59" s="6" t="s">
        <v>74</v>
      </c>
      <c r="C59" s="15">
        <f>C57+C58</f>
        <v>0</v>
      </c>
      <c r="D59" s="15">
        <f>D57+D58</f>
        <v>-79.55</v>
      </c>
      <c r="E59" s="15">
        <f>E57+E58</f>
        <v>11561.63</v>
      </c>
      <c r="F59" s="15">
        <f>F57+F58</f>
        <v>-2167.84</v>
      </c>
    </row>
    <row r="60" spans="1:6" s="3" customFormat="1" ht="14.25">
      <c r="A60" s="2"/>
      <c r="B60" s="6" t="s">
        <v>76</v>
      </c>
      <c r="C60" s="18">
        <f>C44-C55+C59</f>
        <v>7347.8099999999686</v>
      </c>
      <c r="D60" s="18">
        <f>GuideGestion!D44-GuideGestion!D55+D59</f>
        <v>-37387.990000000005</v>
      </c>
      <c r="E60" s="18">
        <f>GuideGestion!E44-GuideGestion!E55+E59</f>
        <v>493383.66999999993</v>
      </c>
      <c r="F60" s="18">
        <f>GuideGestion!F44-GuideGestion!F55+F59</f>
        <v>-584298.95000000007</v>
      </c>
    </row>
    <row r="61" spans="1:6" s="3" customFormat="1" ht="14.25">
      <c r="A61" s="2" t="s">
        <v>48</v>
      </c>
      <c r="B61" s="6"/>
      <c r="C61" s="18" t="s">
        <v>60</v>
      </c>
      <c r="D61" s="15" t="s">
        <v>60</v>
      </c>
      <c r="E61" s="15" t="s">
        <v>60</v>
      </c>
      <c r="F61" s="15" t="s">
        <v>60</v>
      </c>
    </row>
    <row r="62" spans="1:6" s="3" customFormat="1" ht="14.25">
      <c r="A62" s="2" t="s">
        <v>11</v>
      </c>
      <c r="B62" s="6"/>
      <c r="C62" s="23" t="s">
        <v>278</v>
      </c>
      <c r="D62" s="23" t="s">
        <v>278</v>
      </c>
      <c r="E62" s="23" t="s">
        <v>278</v>
      </c>
      <c r="F62" s="23" t="s">
        <v>278</v>
      </c>
    </row>
    <row r="63" spans="1:6" s="3" customFormat="1" ht="14.25">
      <c r="A63" s="2" t="s">
        <v>77</v>
      </c>
      <c r="B63" s="6" t="s">
        <v>78</v>
      </c>
      <c r="C63" s="142">
        <v>-927922.27</v>
      </c>
      <c r="D63" s="143">
        <v>-927922.27</v>
      </c>
      <c r="E63" s="144">
        <v>-758056.35</v>
      </c>
      <c r="F63" s="145">
        <v>-749628.66</v>
      </c>
    </row>
    <row r="64" spans="1:6" s="3" customFormat="1" ht="14.25">
      <c r="A64" s="2" t="s">
        <v>79</v>
      </c>
      <c r="B64" s="6" t="s">
        <v>80</v>
      </c>
      <c r="C64" s="146">
        <v>-3057835.51</v>
      </c>
      <c r="D64" s="147">
        <v>-2483177.59</v>
      </c>
      <c r="E64" s="148">
        <v>-2358576.09</v>
      </c>
      <c r="F64" s="149">
        <v>-2274273.38</v>
      </c>
    </row>
    <row r="65" spans="1:6" s="3" customFormat="1" ht="14.25">
      <c r="A65" s="2"/>
      <c r="B65" s="6" t="s">
        <v>81</v>
      </c>
      <c r="C65" s="18">
        <f>IF(C64=0,0,C63/C64)*100</f>
        <v>30.345722226242316</v>
      </c>
      <c r="D65" s="18">
        <f>IF(D64=0,0,D63/D64)*100</f>
        <v>37.368341021473213</v>
      </c>
      <c r="E65" s="18">
        <f>IF(E64=0,0,E63/E64)*100</f>
        <v>32.140423758811195</v>
      </c>
      <c r="F65" s="18">
        <f>IF(F64=0,0,F63/F64)*100</f>
        <v>32.961237931738886</v>
      </c>
    </row>
    <row r="66" spans="1:6" s="3" customFormat="1" ht="16.5">
      <c r="A66" s="2"/>
      <c r="B66" s="4" t="s">
        <v>82</v>
      </c>
      <c r="C66" s="20"/>
      <c r="D66" s="20"/>
      <c r="E66" s="20"/>
      <c r="F66" s="20"/>
    </row>
    <row r="67" spans="1:6" s="3" customFormat="1" ht="16.5">
      <c r="A67" s="2" t="s">
        <v>48</v>
      </c>
      <c r="B67" s="9"/>
      <c r="C67" s="18" t="s">
        <v>83</v>
      </c>
      <c r="D67" s="18" t="s">
        <v>83</v>
      </c>
      <c r="E67" s="18" t="s">
        <v>83</v>
      </c>
      <c r="F67" s="18" t="s">
        <v>83</v>
      </c>
    </row>
    <row r="68" spans="1:6" s="3" customFormat="1" ht="14.25">
      <c r="A68" s="2" t="s">
        <v>84</v>
      </c>
      <c r="B68" s="6" t="s">
        <v>85</v>
      </c>
      <c r="C68" s="150">
        <v>0</v>
      </c>
      <c r="D68" s="151">
        <v>0</v>
      </c>
      <c r="E68" s="152">
        <v>0</v>
      </c>
      <c r="F68" s="153">
        <v>0</v>
      </c>
    </row>
    <row r="69" spans="1:6" s="3" customFormat="1" ht="14.25">
      <c r="A69" s="2" t="s">
        <v>48</v>
      </c>
      <c r="B69" s="6"/>
      <c r="C69" s="18" t="s">
        <v>60</v>
      </c>
      <c r="D69" s="18" t="s">
        <v>60</v>
      </c>
      <c r="E69" s="18" t="s">
        <v>60</v>
      </c>
      <c r="F69" s="18" t="s">
        <v>60</v>
      </c>
    </row>
    <row r="70" spans="1:6" s="3" customFormat="1" ht="14.25">
      <c r="A70" s="2" t="s">
        <v>86</v>
      </c>
      <c r="B70" s="2" t="s">
        <v>87</v>
      </c>
      <c r="C70" s="154">
        <v>32275.89</v>
      </c>
      <c r="D70" s="155">
        <v>310517.99</v>
      </c>
      <c r="E70" s="156">
        <v>379305.98</v>
      </c>
      <c r="F70" s="157">
        <v>-134552.69</v>
      </c>
    </row>
    <row r="71" spans="1:6" s="3" customFormat="1" ht="14.25">
      <c r="A71" s="2"/>
      <c r="B71" s="2" t="s">
        <v>88</v>
      </c>
      <c r="C71" s="18">
        <f>C70+IF(GuideGestion!C5="",C20,0)</f>
        <v>385005.80000000005</v>
      </c>
      <c r="D71" s="18">
        <f>D70+IF(GuideGestion!C6="",GuideGestion!D20,0)</f>
        <v>310517.99</v>
      </c>
      <c r="E71" s="18">
        <f>E70+IF(GuideGestion!C7="",GuideGestion!E20,0)</f>
        <v>379305.98</v>
      </c>
      <c r="F71" s="18">
        <f>F70+IF(GuideGestion!D7="",GuideGestion!F20,0)</f>
        <v>-147707.28</v>
      </c>
    </row>
    <row r="72" spans="1:6" s="3" customFormat="1" ht="14.25">
      <c r="A72" s="2" t="s">
        <v>89</v>
      </c>
      <c r="B72" s="2" t="s">
        <v>90</v>
      </c>
      <c r="C72" s="158">
        <v>0</v>
      </c>
      <c r="D72" s="159">
        <v>0</v>
      </c>
      <c r="E72" s="160">
        <v>0</v>
      </c>
      <c r="F72" s="161">
        <v>0</v>
      </c>
    </row>
    <row r="73" spans="1:6" s="3" customFormat="1" ht="14.25">
      <c r="A73" s="2" t="s">
        <v>283</v>
      </c>
      <c r="B73" s="2" t="s">
        <v>91</v>
      </c>
      <c r="C73" s="162">
        <v>89620</v>
      </c>
      <c r="D73" s="163">
        <v>22480</v>
      </c>
      <c r="E73" s="164">
        <v>53880</v>
      </c>
      <c r="F73" s="165">
        <v>36105</v>
      </c>
    </row>
    <row r="74" spans="1:6" s="3" customFormat="1" ht="14.25">
      <c r="A74" s="2"/>
      <c r="B74" s="6" t="s">
        <v>92</v>
      </c>
      <c r="C74" s="18">
        <f>(C71+C68-C73)</f>
        <v>295385.80000000005</v>
      </c>
      <c r="D74" s="18">
        <f>(D71+D68-D73)</f>
        <v>288037.99</v>
      </c>
      <c r="E74" s="18">
        <f>(E71+E68-E73)</f>
        <v>325425.98</v>
      </c>
      <c r="F74" s="18">
        <f>(F71+F68-F73)</f>
        <v>-183812.28</v>
      </c>
    </row>
    <row r="75" spans="1:6" s="3" customFormat="1" ht="14.25">
      <c r="A75" s="2"/>
      <c r="B75" s="6" t="s">
        <v>93</v>
      </c>
      <c r="C75" s="18">
        <f>IF(C15=0,0,C74/C15*100)</f>
        <v>52.530872930263705</v>
      </c>
      <c r="D75" s="18">
        <f>IF(GuideGestion!D15=0,0,D74/GuideGestion!D15*100)</f>
        <v>57.532227330263709</v>
      </c>
      <c r="E75" s="18">
        <f>IF(GuideGestion!E15=0,0,E74/GuideGestion!E15*100)</f>
        <v>62.875727833747433</v>
      </c>
      <c r="F75" s="18">
        <f>IF(GuideGestion!F15=0,0,F74/GuideGestion!F15*100)</f>
        <v>-43.869656159336927</v>
      </c>
    </row>
    <row r="76" spans="1:6" s="3" customFormat="1" ht="14.25">
      <c r="A76" s="2" t="s">
        <v>94</v>
      </c>
      <c r="B76" s="6" t="s">
        <v>95</v>
      </c>
      <c r="C76" s="166">
        <v>2274.34</v>
      </c>
      <c r="D76" s="167">
        <v>2274.34</v>
      </c>
      <c r="E76" s="168">
        <v>5182.3999999999996</v>
      </c>
      <c r="F76" s="169">
        <v>4574.16</v>
      </c>
    </row>
    <row r="77" spans="1:6" s="3" customFormat="1" ht="14.25">
      <c r="A77" s="2" t="s">
        <v>48</v>
      </c>
      <c r="B77" s="6"/>
      <c r="C77" s="18" t="s">
        <v>60</v>
      </c>
      <c r="D77" s="18" t="s">
        <v>60</v>
      </c>
      <c r="E77" s="18" t="s">
        <v>60</v>
      </c>
      <c r="F77" s="18" t="s">
        <v>60</v>
      </c>
    </row>
    <row r="78" spans="1:6" s="3" customFormat="1" ht="14.25">
      <c r="A78" s="2" t="s">
        <v>96</v>
      </c>
      <c r="B78" s="6" t="s">
        <v>97</v>
      </c>
      <c r="C78" s="170">
        <v>401277.26</v>
      </c>
      <c r="D78" s="171">
        <v>326789.45</v>
      </c>
      <c r="E78" s="172">
        <v>391811.28</v>
      </c>
      <c r="F78" s="173">
        <v>173.31</v>
      </c>
    </row>
    <row r="79" spans="1:6" s="3" customFormat="1" ht="14.25">
      <c r="A79" s="2" t="s">
        <v>98</v>
      </c>
      <c r="B79" s="6" t="s">
        <v>99</v>
      </c>
      <c r="C79" s="174">
        <v>103761.18</v>
      </c>
      <c r="D79" s="175">
        <v>120742.22</v>
      </c>
      <c r="E79" s="176">
        <v>145738.85999999999</v>
      </c>
      <c r="F79" s="177">
        <v>119940.67</v>
      </c>
    </row>
    <row r="80" spans="1:6" s="3" customFormat="1" ht="14.25">
      <c r="A80" s="2"/>
      <c r="B80" s="6" t="s">
        <v>100</v>
      </c>
      <c r="C80" s="18">
        <f>IF(C15=0,0,C79/C15*100)</f>
        <v>18.452699356821547</v>
      </c>
      <c r="D80" s="18">
        <f>IF(GuideGestion!D15=0,0,D79/GuideGestion!D15*100)</f>
        <v>24.116849480170007</v>
      </c>
      <c r="E80" s="18">
        <f>IF(GuideGestion!E15=0,0,E79/GuideGestion!E15*100)</f>
        <v>28.158283171370091</v>
      </c>
      <c r="F80" s="18">
        <f>IF(GuideGestion!F15=0,0,F79/GuideGestion!F15*100)</f>
        <v>28.625704182661231</v>
      </c>
    </row>
    <row r="81" spans="1:6" s="3" customFormat="1" ht="14.25">
      <c r="A81" s="2"/>
      <c r="B81" s="6" t="s">
        <v>101</v>
      </c>
      <c r="C81" s="18"/>
      <c r="D81" s="18"/>
      <c r="E81" s="18"/>
      <c r="F81" s="18"/>
    </row>
    <row r="82" spans="1:6" s="3" customFormat="1" ht="16.5">
      <c r="A82" s="2"/>
      <c r="B82" s="4" t="s">
        <v>102</v>
      </c>
      <c r="C82" s="20"/>
      <c r="D82" s="20"/>
      <c r="E82" s="20"/>
      <c r="F82" s="20"/>
    </row>
    <row r="83" spans="1:6" s="3" customFormat="1" ht="16.5">
      <c r="A83" s="2" t="s">
        <v>48</v>
      </c>
      <c r="B83" s="9"/>
      <c r="C83" s="18" t="s">
        <v>60</v>
      </c>
      <c r="D83" s="18" t="s">
        <v>60</v>
      </c>
      <c r="E83" s="18" t="s">
        <v>60</v>
      </c>
      <c r="F83" s="18" t="s">
        <v>60</v>
      </c>
    </row>
    <row r="84" spans="1:6" s="3" customFormat="1" ht="14.25">
      <c r="A84" s="2" t="s">
        <v>103</v>
      </c>
      <c r="B84" s="6" t="s">
        <v>104</v>
      </c>
      <c r="C84" s="178">
        <v>150862</v>
      </c>
      <c r="D84" s="179">
        <v>150862</v>
      </c>
      <c r="E84" s="180">
        <v>140572</v>
      </c>
      <c r="F84" s="181">
        <v>135372</v>
      </c>
    </row>
    <row r="85" spans="1:6" s="3" customFormat="1" ht="14.25">
      <c r="A85" s="2"/>
      <c r="B85" s="6" t="s">
        <v>105</v>
      </c>
      <c r="C85" s="18">
        <f>IF(C15=0,0,C84/C15*100)</f>
        <v>26.829023439872334</v>
      </c>
      <c r="D85" s="18">
        <f>IF(GuideGestion!D15=0,0,D84/GuideGestion!D15*100)</f>
        <v>30.132924061503985</v>
      </c>
      <c r="E85" s="18">
        <f>IF(GuideGestion!E15=0,0,E84/GuideGestion!E15*100)</f>
        <v>27.159991384355802</v>
      </c>
      <c r="F85" s="18">
        <f>IF(GuideGestion!F15=0,0,F84/GuideGestion!F15*100)</f>
        <v>32.308630814011764</v>
      </c>
    </row>
    <row r="86" spans="1:6" s="3" customFormat="1" ht="14.25">
      <c r="A86" s="2" t="s">
        <v>106</v>
      </c>
      <c r="B86" s="6" t="s">
        <v>107</v>
      </c>
      <c r="C86" s="182">
        <v>3057835.51</v>
      </c>
      <c r="D86" s="183">
        <v>2483177.59</v>
      </c>
      <c r="E86" s="184">
        <v>2358576.09</v>
      </c>
      <c r="F86" s="185">
        <v>2274273.38</v>
      </c>
    </row>
    <row r="87" spans="1:6" s="3" customFormat="1" ht="14.25">
      <c r="A87" s="2" t="s">
        <v>108</v>
      </c>
      <c r="B87" s="6" t="s">
        <v>109</v>
      </c>
      <c r="C87" s="186">
        <v>3104775</v>
      </c>
      <c r="D87" s="187">
        <v>2530117.08</v>
      </c>
      <c r="E87" s="188">
        <v>2405515.58</v>
      </c>
      <c r="F87" s="189">
        <v>2321212.87</v>
      </c>
    </row>
    <row r="88" spans="1:6" s="3" customFormat="1" ht="14.25">
      <c r="A88" s="2"/>
      <c r="B88" s="6" t="s">
        <v>110</v>
      </c>
      <c r="C88" s="18">
        <f>IF(C86=0,0,C84/C86*100)</f>
        <v>4.9336205138124001</v>
      </c>
      <c r="D88" s="18">
        <f>IF(D86=0,0,D84/D86*100)</f>
        <v>6.0753608846800207</v>
      </c>
      <c r="E88" s="18">
        <f>IF(E86=0,0,E84/E86*100)</f>
        <v>5.9600366761964425</v>
      </c>
      <c r="F88" s="18">
        <f>IF(F86=0,0,F84/F86*100)</f>
        <v>5.9523187137687028</v>
      </c>
    </row>
    <row r="89" spans="1:6" s="3" customFormat="1" ht="14.25">
      <c r="A89" s="2" t="s">
        <v>111</v>
      </c>
      <c r="B89" s="6" t="s">
        <v>112</v>
      </c>
      <c r="C89" s="190">
        <v>729211.49</v>
      </c>
      <c r="D89" s="191">
        <v>729211.49</v>
      </c>
      <c r="E89" s="192">
        <v>701243.16</v>
      </c>
      <c r="F89" s="193">
        <v>604177.51</v>
      </c>
    </row>
    <row r="90" spans="1:6" s="3" customFormat="1" ht="14.25">
      <c r="A90" s="2"/>
      <c r="B90" s="6" t="s">
        <v>113</v>
      </c>
      <c r="C90" s="18">
        <f>C89+IF(GuideGestion!C5="",C20,0)</f>
        <v>1081941.3999999999</v>
      </c>
      <c r="D90" s="18">
        <f>D89+IF(GuideGestion!C6="",GuideGestion!D20,0)</f>
        <v>729211.49</v>
      </c>
      <c r="E90" s="18">
        <f>E89+IF(GuideGestion!C7="",GuideGestion!E20,0)</f>
        <v>701243.16</v>
      </c>
      <c r="F90" s="18">
        <f>F89+IF(GuideGestion!D7="",GuideGestion!F20,0)</f>
        <v>591022.92000000004</v>
      </c>
    </row>
    <row r="91" spans="1:6" s="3" customFormat="1" ht="14.25">
      <c r="A91" s="2"/>
      <c r="B91" s="6" t="s">
        <v>114</v>
      </c>
      <c r="C91" s="18">
        <f>IF(C90=0,0,C84/C90*100)</f>
        <v>13.943638722023207</v>
      </c>
      <c r="D91" s="18">
        <f>IF(D90=0,0,D84/D90*100)</f>
        <v>20.688373958561733</v>
      </c>
      <c r="E91" s="18">
        <f>IF(E90=0,0,E84/E90*100)</f>
        <v>20.046113533570864</v>
      </c>
      <c r="F91" s="18">
        <f>IF(F90=0,0,F84/F90*100)</f>
        <v>22.904695472723795</v>
      </c>
    </row>
    <row r="92" spans="1:6" s="3" customFormat="1" ht="14.25">
      <c r="A92" s="2"/>
      <c r="B92" s="6" t="s">
        <v>115</v>
      </c>
      <c r="C92" s="18">
        <f>IF(C86=0,0,C24/C86*100)</f>
        <v>3.0648067789624172</v>
      </c>
      <c r="D92" s="18">
        <f>IF(D86=0,0,D24/D86*100)</f>
        <v>3.2604289087515488</v>
      </c>
      <c r="E92" s="18">
        <f>IF(E86=0,0,E24/E86*100)</f>
        <v>2.8961406116857562</v>
      </c>
      <c r="F92" s="18">
        <f>IF(F86=0,0,F24/F86*100)</f>
        <v>2.8139220448510902</v>
      </c>
    </row>
    <row r="93" spans="1:6" s="3" customFormat="1" ht="14.25">
      <c r="A93" s="2"/>
      <c r="B93" s="6" t="s">
        <v>116</v>
      </c>
      <c r="C93" s="18">
        <f>IF(C26=0,0,C86/C26*100)</f>
        <v>0</v>
      </c>
      <c r="D93" s="18">
        <f>IF(D26=0,0,D86/D26*100)</f>
        <v>1325.0106718961802</v>
      </c>
      <c r="E93" s="18">
        <f>IF(E26=0,0,E86/E26*100)</f>
        <v>1319.4619420656015</v>
      </c>
      <c r="F93" s="18">
        <f>IF(F26=0,0,F86/F26*100)</f>
        <v>1340.4502133588155</v>
      </c>
    </row>
    <row r="94" spans="1:6" s="3" customFormat="1" ht="14.25">
      <c r="A94" s="2"/>
      <c r="B94" s="6" t="s">
        <v>117</v>
      </c>
      <c r="C94" s="18">
        <f>IF(C22=0,0,C44/C22*100)</f>
        <v>-19.433341759899079</v>
      </c>
      <c r="D94" s="18">
        <f>IF(D22=0,0,D44/D22*100)</f>
        <v>-7.3846556580086684</v>
      </c>
      <c r="E94" s="18">
        <f>IF(E22=0,0,E44/E22*100)</f>
        <v>-14.308555911226101</v>
      </c>
      <c r="F94" s="18">
        <f>IF(F22=0,0,F44/F22*100)</f>
        <v>0.2074385364647463</v>
      </c>
    </row>
    <row r="95" spans="1:6" s="3" customFormat="1" ht="14.25">
      <c r="A95" s="2"/>
      <c r="B95" s="6" t="s">
        <v>118</v>
      </c>
      <c r="C95" s="18">
        <f>IF(C15=0,0,C79/(C23*1.055+(C15-C23)*1.2)*100)</f>
        <v>16.404578636861331</v>
      </c>
      <c r="D95" s="18">
        <f>IF(D15=0,0,D79/(D23*1.1+(D15-D23)*1.2)*100)</f>
        <v>21.033857084571995</v>
      </c>
      <c r="E95" s="18">
        <f>IF(E15=0,0,E79/(E23*1.1+(E15-E23)*1.2)*100)</f>
        <v>24.535232826163956</v>
      </c>
      <c r="F95" s="18">
        <f>IF(F15=0,0,F79/(F23*1.1+(F15-F23)*1.2)*100)</f>
        <v>24.769346711530943</v>
      </c>
    </row>
    <row r="96" spans="1:6" s="3" customFormat="1" ht="14.25">
      <c r="A96" s="2" t="s">
        <v>48</v>
      </c>
      <c r="B96" s="6"/>
      <c r="C96" s="18" t="s">
        <v>119</v>
      </c>
      <c r="D96" s="18" t="s">
        <v>119</v>
      </c>
      <c r="E96" s="18" t="s">
        <v>119</v>
      </c>
      <c r="F96" s="18" t="s">
        <v>119</v>
      </c>
    </row>
    <row r="97" spans="1:6" s="3" customFormat="1" ht="14.25">
      <c r="A97" s="2" t="s">
        <v>120</v>
      </c>
      <c r="B97" s="6" t="s">
        <v>121</v>
      </c>
      <c r="C97" s="194">
        <v>25693.82</v>
      </c>
      <c r="D97" s="195">
        <v>86025.49</v>
      </c>
      <c r="E97" s="196">
        <v>24210.03</v>
      </c>
      <c r="F97" s="197">
        <v>387762.15</v>
      </c>
    </row>
    <row r="98" spans="1:6" s="3" customFormat="1" ht="14.25">
      <c r="A98" s="2" t="s">
        <v>122</v>
      </c>
      <c r="B98" s="6" t="s">
        <v>123</v>
      </c>
      <c r="C98" s="198">
        <v>0</v>
      </c>
      <c r="D98" s="199">
        <v>0</v>
      </c>
      <c r="E98" s="200">
        <v>0</v>
      </c>
      <c r="F98" s="201">
        <v>0</v>
      </c>
    </row>
    <row r="99" spans="1:6" s="3" customFormat="1" ht="14.25">
      <c r="A99" s="2" t="s">
        <v>124</v>
      </c>
      <c r="B99" s="6" t="s">
        <v>125</v>
      </c>
      <c r="C99" s="202">
        <v>25693.82</v>
      </c>
      <c r="D99" s="203">
        <v>86025.49</v>
      </c>
      <c r="E99" s="204">
        <v>24210.03</v>
      </c>
      <c r="F99" s="205">
        <v>387762.15</v>
      </c>
    </row>
    <row r="100" spans="1:6" s="3" customFormat="1" ht="14.25">
      <c r="A100" s="2" t="s">
        <v>48</v>
      </c>
      <c r="B100" s="6"/>
      <c r="C100" s="18" t="s">
        <v>60</v>
      </c>
      <c r="D100" s="18" t="s">
        <v>60</v>
      </c>
      <c r="E100" s="18" t="s">
        <v>60</v>
      </c>
      <c r="F100" s="18" t="s">
        <v>60</v>
      </c>
    </row>
    <row r="101" spans="1:6" s="3" customFormat="1" ht="14.25">
      <c r="A101" s="2" t="s">
        <v>126</v>
      </c>
      <c r="B101" s="6" t="s">
        <v>127</v>
      </c>
      <c r="C101" s="206">
        <v>1484732.55</v>
      </c>
      <c r="D101" s="207">
        <v>1161997.8799999999</v>
      </c>
      <c r="E101" s="208">
        <v>1304010.3799999999</v>
      </c>
      <c r="F101" s="209">
        <v>922387.88</v>
      </c>
    </row>
    <row r="102" spans="1:6" s="3" customFormat="1" ht="14.25">
      <c r="A102" s="2" t="s">
        <v>128</v>
      </c>
      <c r="B102" s="6" t="s">
        <v>129</v>
      </c>
      <c r="C102" s="210">
        <v>2213944.04</v>
      </c>
      <c r="D102" s="211">
        <v>1891209.37</v>
      </c>
      <c r="E102" s="212">
        <v>2005253.54</v>
      </c>
      <c r="F102" s="213">
        <v>1526565.39</v>
      </c>
    </row>
    <row r="103" spans="1:6" s="3" customFormat="1" ht="14.25">
      <c r="A103" s="2"/>
      <c r="B103" s="6" t="s">
        <v>130</v>
      </c>
      <c r="C103" s="18">
        <f>C102+IF(GuideGestion!C5="",C20,0)</f>
        <v>2566673.9500000002</v>
      </c>
      <c r="D103" s="18">
        <f>D102+IF(GuideGestion!C6="",GuideGestion!D20,0)</f>
        <v>1891209.37</v>
      </c>
      <c r="E103" s="18">
        <f>E102+IF(GuideGestion!C7="",GuideGestion!E20,0)</f>
        <v>2005253.54</v>
      </c>
      <c r="F103" s="18">
        <f>F102+IF(GuideGestion!D7="",GuideGestion!F20,0)</f>
        <v>1513410.7999999998</v>
      </c>
    </row>
    <row r="104" spans="1:6" s="3" customFormat="1" ht="14.25">
      <c r="A104" s="2"/>
      <c r="B104" s="6" t="s">
        <v>131</v>
      </c>
      <c r="C104" s="18">
        <f>C103+C97+C98</f>
        <v>2592367.77</v>
      </c>
      <c r="D104" s="18">
        <f>D103+D97+D98</f>
        <v>1977234.86</v>
      </c>
      <c r="E104" s="18">
        <f>E103+E97+E98</f>
        <v>2029463.57</v>
      </c>
      <c r="F104" s="18">
        <f>F103+F97+F98</f>
        <v>1901172.9499999997</v>
      </c>
    </row>
    <row r="105" spans="1:6" s="3" customFormat="1" ht="14.25">
      <c r="A105" s="2"/>
      <c r="B105" s="6" t="s">
        <v>132</v>
      </c>
      <c r="C105" s="18">
        <f>IF(C104=0,0,C90/C104*100)</f>
        <v>41.735644630391313</v>
      </c>
      <c r="D105" s="18">
        <f>IF(D104=0,0,D90/D104*100)</f>
        <v>36.88036786889343</v>
      </c>
      <c r="E105" s="18">
        <f>IF(E104=0,0,E90/E104*100)</f>
        <v>34.553128736378355</v>
      </c>
      <c r="F105" s="18">
        <f>IF(F104=0,0,F90/F104*100)</f>
        <v>31.087277988044175</v>
      </c>
    </row>
    <row r="106" spans="1:6" s="3" customFormat="1" ht="14.25">
      <c r="A106" s="2" t="s">
        <v>133</v>
      </c>
      <c r="B106" s="6" t="s">
        <v>134</v>
      </c>
      <c r="C106" s="214">
        <v>1474693.46</v>
      </c>
      <c r="D106" s="215">
        <v>1151958.79</v>
      </c>
      <c r="E106" s="216">
        <v>1294749.8400000001</v>
      </c>
      <c r="F106" s="217">
        <v>803076.51</v>
      </c>
    </row>
    <row r="107" spans="1:6" s="3" customFormat="1" ht="14.25">
      <c r="A107" s="2"/>
      <c r="B107" s="6" t="s">
        <v>135</v>
      </c>
      <c r="C107" s="18">
        <f>IF(C104=0,0,(C106-C73)/C104*100)</f>
        <v>53.428895237345117</v>
      </c>
      <c r="D107" s="18">
        <f>IF(D104=0,0,(D106-D73)/D104*100)</f>
        <v>57.124159241254723</v>
      </c>
      <c r="E107" s="18">
        <f>IF(E104=0,0,(E106-E73)/E104*100)</f>
        <v>61.142750150474491</v>
      </c>
      <c r="F107" s="18">
        <f>IF(F104=0,0,(F106-F73)/F104*100)</f>
        <v>40.342016753394269</v>
      </c>
    </row>
    <row r="285" spans="3:6" s="3" customFormat="1" ht="14.25">
      <c r="C285" s="15"/>
      <c r="D285" s="16"/>
      <c r="E285" s="15"/>
      <c r="F285" s="15"/>
    </row>
    <row r="286" spans="3:6" s="3" customFormat="1" ht="14.25">
      <c r="C286" s="15"/>
      <c r="D286" s="15"/>
      <c r="E286" s="15"/>
      <c r="F286" s="15"/>
    </row>
    <row r="287" spans="3:6" s="3" customFormat="1" ht="14.25">
      <c r="C287" s="15"/>
      <c r="D287" s="15"/>
      <c r="E287" s="15"/>
      <c r="F287" s="15"/>
    </row>
    <row r="288" spans="3:6" s="3" customFormat="1" ht="14.25">
      <c r="C288" s="15"/>
      <c r="D288" s="15"/>
      <c r="E288" s="15"/>
      <c r="F288" s="15"/>
    </row>
    <row r="289" spans="3:6" s="3" customFormat="1" ht="14.25">
      <c r="C289" s="15"/>
      <c r="D289" s="15"/>
      <c r="E289" s="15"/>
      <c r="F289" s="15"/>
    </row>
    <row r="297" spans="3:6" s="3" customFormat="1" ht="14.25">
      <c r="C297" s="15"/>
      <c r="D297" s="15"/>
      <c r="E297" s="15"/>
      <c r="F297" s="15"/>
    </row>
    <row r="298" spans="3:6" s="3" customFormat="1" ht="14.25">
      <c r="C298" s="15"/>
      <c r="D298" s="15"/>
      <c r="E298" s="15"/>
      <c r="F298" s="15"/>
    </row>
    <row r="299" spans="3:6" s="3" customFormat="1" ht="14.25">
      <c r="C299" s="15"/>
      <c r="D299" s="15"/>
      <c r="E299" s="15"/>
      <c r="F299" s="15"/>
    </row>
    <row r="300" spans="3:6" s="3" customFormat="1" ht="14.25">
      <c r="C300" s="15"/>
      <c r="D300" s="15"/>
      <c r="E300" s="15"/>
      <c r="F300" s="15"/>
    </row>
    <row r="301" spans="3:6" s="3" customFormat="1" ht="14.25">
      <c r="C301" s="15"/>
      <c r="D301" s="15"/>
      <c r="E301" s="15"/>
      <c r="F301" s="15"/>
    </row>
    <row r="302" spans="3:6" s="3" customFormat="1" ht="14.25">
      <c r="C302" s="15"/>
      <c r="D302" s="15"/>
      <c r="E302" s="15"/>
      <c r="F302" s="15"/>
    </row>
    <row r="303" spans="3:6" s="3" customFormat="1" ht="14.25">
      <c r="C303" s="15"/>
      <c r="D303" s="15"/>
      <c r="E303" s="15"/>
      <c r="F303" s="15"/>
    </row>
    <row r="304" spans="3:6" s="3" customFormat="1" ht="14.25">
      <c r="C304" s="15"/>
      <c r="D304" s="15"/>
      <c r="E304" s="15"/>
      <c r="F304" s="15"/>
    </row>
    <row r="305" spans="3:6" s="3" customFormat="1" ht="14.25">
      <c r="C305" s="15"/>
      <c r="D305" s="15"/>
      <c r="E305" s="15"/>
      <c r="F305" s="15"/>
    </row>
    <row r="306" spans="3:6" s="3" customFormat="1" ht="14.25">
      <c r="C306" s="15"/>
      <c r="D306" s="15"/>
      <c r="E306" s="15"/>
      <c r="F306" s="15"/>
    </row>
    <row r="307" spans="3:6" s="3" customFormat="1" ht="14.25">
      <c r="C307" s="15"/>
      <c r="D307" s="15"/>
      <c r="E307" s="15"/>
      <c r="F307" s="15"/>
    </row>
    <row r="308" spans="3:6" s="3" customFormat="1" ht="14.25">
      <c r="C308" s="15"/>
      <c r="D308" s="15"/>
      <c r="E308" s="15"/>
      <c r="F308" s="15"/>
    </row>
    <row r="309" spans="3:6" s="3" customFormat="1" ht="14.25">
      <c r="C309" s="15"/>
      <c r="D309" s="15"/>
      <c r="E309" s="15"/>
      <c r="F309" s="15"/>
    </row>
    <row r="310" spans="3:6" s="3" customFormat="1" ht="14.25">
      <c r="C310" s="15"/>
      <c r="D310" s="15"/>
      <c r="E310" s="15"/>
      <c r="F310" s="15"/>
    </row>
    <row r="311" spans="3:6" s="3" customFormat="1" ht="14.25">
      <c r="C311" s="15"/>
      <c r="D311" s="15"/>
      <c r="E311" s="15"/>
      <c r="F311" s="15"/>
    </row>
    <row r="312" spans="3:6" s="3" customFormat="1" ht="14.25">
      <c r="C312" s="15"/>
      <c r="D312" s="15"/>
      <c r="E312" s="15"/>
      <c r="F312" s="15"/>
    </row>
    <row r="313" spans="3:6" s="3" customFormat="1" ht="14.25">
      <c r="C313" s="15"/>
      <c r="D313" s="15"/>
      <c r="E313" s="15"/>
      <c r="F313" s="15"/>
    </row>
    <row r="314" spans="3:6" s="3" customFormat="1" ht="14.25">
      <c r="C314" s="15"/>
      <c r="D314" s="15"/>
      <c r="E314" s="15"/>
      <c r="F314" s="15"/>
    </row>
    <row r="315" spans="3:6" s="3" customFormat="1" ht="14.25">
      <c r="C315" s="15"/>
      <c r="D315" s="15"/>
      <c r="E315" s="15"/>
      <c r="F315" s="15"/>
    </row>
    <row r="316" spans="3:6" s="3" customFormat="1" ht="14.25">
      <c r="C316" s="15"/>
      <c r="D316" s="15"/>
      <c r="E316" s="15"/>
      <c r="F316" s="15"/>
    </row>
    <row r="317" spans="3:6" s="3" customFormat="1" ht="14.25">
      <c r="C317" s="15"/>
      <c r="D317" s="15"/>
      <c r="E317" s="15"/>
      <c r="F317" s="15"/>
    </row>
    <row r="318" spans="3:6" s="3" customFormat="1" ht="14.25">
      <c r="C318" s="15"/>
      <c r="D318" s="15"/>
      <c r="E318" s="15"/>
      <c r="F318" s="15"/>
    </row>
    <row r="319" spans="3:6" s="3" customFormat="1" ht="14.25">
      <c r="C319" s="15"/>
      <c r="D319" s="15"/>
      <c r="E319" s="15"/>
      <c r="F319" s="15"/>
    </row>
    <row r="320" spans="3:6" s="3" customFormat="1" ht="14.25">
      <c r="C320" s="15"/>
      <c r="D320" s="15"/>
      <c r="E320" s="15"/>
      <c r="F320" s="15"/>
    </row>
    <row r="321" spans="3:6" s="3" customFormat="1" ht="14.25">
      <c r="C321" s="15"/>
      <c r="D321" s="15"/>
      <c r="E321" s="15"/>
      <c r="F321" s="15"/>
    </row>
    <row r="322" spans="3:6" s="3" customFormat="1" ht="14.25">
      <c r="C322" s="15"/>
      <c r="D322" s="15"/>
      <c r="E322" s="15"/>
      <c r="F322" s="15"/>
    </row>
    <row r="323" spans="3:6" s="3" customFormat="1" ht="14.25">
      <c r="C323" s="15"/>
      <c r="D323" s="15"/>
      <c r="E323" s="15"/>
      <c r="F323" s="15"/>
    </row>
    <row r="324" spans="3:6" s="3" customFormat="1" ht="14.25">
      <c r="C324" s="15"/>
      <c r="D324" s="15"/>
      <c r="E324" s="15"/>
      <c r="F324" s="15"/>
    </row>
    <row r="325" spans="3:6" s="3" customFormat="1" ht="14.25">
      <c r="C325" s="15"/>
      <c r="D325" s="15"/>
      <c r="E325" s="15"/>
      <c r="F325" s="15"/>
    </row>
    <row r="326" spans="3:6" s="3" customFormat="1" ht="14.25">
      <c r="C326" s="15"/>
      <c r="D326" s="15"/>
      <c r="E326" s="15"/>
      <c r="F326" s="15"/>
    </row>
    <row r="327" spans="3:6" s="3" customFormat="1" ht="14.25">
      <c r="C327" s="15"/>
      <c r="D327" s="15"/>
      <c r="E327" s="15"/>
      <c r="F327" s="15"/>
    </row>
    <row r="328" spans="3:6" s="3" customFormat="1" ht="14.25">
      <c r="C328" s="15"/>
      <c r="D328" s="15"/>
      <c r="E328" s="15"/>
      <c r="F328" s="15"/>
    </row>
    <row r="329" spans="3:6" s="3" customFormat="1" ht="14.25">
      <c r="C329" s="15"/>
      <c r="D329" s="15"/>
      <c r="E329" s="15"/>
      <c r="F329" s="15"/>
    </row>
    <row r="330" spans="3:6" s="3" customFormat="1" ht="14.25">
      <c r="C330" s="15"/>
      <c r="D330" s="15"/>
      <c r="E330" s="15"/>
      <c r="F330" s="15"/>
    </row>
    <row r="331" spans="3:6" s="3" customFormat="1" ht="14.25">
      <c r="C331" s="15"/>
      <c r="D331" s="15"/>
      <c r="E331" s="15"/>
      <c r="F331" s="15"/>
    </row>
    <row r="332" spans="3:6" s="3" customFormat="1" ht="14.25">
      <c r="C332" s="15"/>
      <c r="D332" s="15"/>
      <c r="E332" s="15"/>
      <c r="F332" s="15"/>
    </row>
    <row r="333" spans="3:6" s="3" customFormat="1" ht="14.25">
      <c r="C333" s="15"/>
      <c r="D333" s="15"/>
      <c r="E333" s="15"/>
      <c r="F333" s="15"/>
    </row>
    <row r="334" spans="3:6" s="3" customFormat="1" ht="14.25">
      <c r="C334" s="15"/>
      <c r="D334" s="15"/>
      <c r="E334" s="15"/>
      <c r="F334" s="15"/>
    </row>
    <row r="335" spans="3:6" s="3" customFormat="1" ht="14.25">
      <c r="C335" s="15"/>
      <c r="D335" s="15"/>
      <c r="E335" s="15"/>
      <c r="F335" s="15"/>
    </row>
    <row r="336" spans="3:6" s="3" customFormat="1" ht="14.25">
      <c r="C336" s="15"/>
      <c r="D336" s="15"/>
      <c r="E336" s="15"/>
      <c r="F336" s="15"/>
    </row>
    <row r="337" spans="3:6" s="3" customFormat="1" ht="14.25">
      <c r="C337" s="15"/>
      <c r="D337" s="15"/>
      <c r="E337" s="15"/>
      <c r="F337" s="15"/>
    </row>
    <row r="338" spans="3:6" s="3" customFormat="1" ht="14.25">
      <c r="C338" s="15"/>
      <c r="D338" s="15"/>
      <c r="E338" s="15"/>
      <c r="F338" s="15"/>
    </row>
    <row r="339" spans="3:6" s="3" customFormat="1" ht="14.25">
      <c r="C339" s="15"/>
      <c r="D339" s="15"/>
      <c r="E339" s="15"/>
      <c r="F339" s="15"/>
    </row>
    <row r="340" spans="3:6" s="3" customFormat="1" ht="14.25">
      <c r="C340" s="15"/>
      <c r="D340" s="15"/>
      <c r="E340" s="15"/>
      <c r="F340" s="15"/>
    </row>
    <row r="341" spans="3:6" s="3" customFormat="1" ht="14.25">
      <c r="C341" s="15"/>
      <c r="D341" s="15"/>
      <c r="E341" s="15"/>
      <c r="F341" s="15"/>
    </row>
    <row r="342" spans="3:6" s="3" customFormat="1" ht="14.25">
      <c r="C342" s="15"/>
      <c r="D342" s="15"/>
      <c r="E342" s="15"/>
      <c r="F342" s="15"/>
    </row>
    <row r="343" spans="3:6" s="3" customFormat="1" ht="14.25">
      <c r="C343" s="15"/>
      <c r="D343" s="15"/>
      <c r="E343" s="15"/>
      <c r="F343" s="15"/>
    </row>
    <row r="344" spans="3:6" s="3" customFormat="1" ht="14.25">
      <c r="C344" s="15"/>
      <c r="D344" s="15"/>
      <c r="E344" s="15"/>
      <c r="F344" s="15"/>
    </row>
    <row r="345" spans="3:6" s="3" customFormat="1" ht="14.25">
      <c r="C345" s="15"/>
      <c r="D345" s="15"/>
      <c r="E345" s="15"/>
      <c r="F345" s="15"/>
    </row>
    <row r="346" spans="3:6" s="3" customFormat="1" ht="14.25">
      <c r="C346" s="15"/>
      <c r="D346" s="15"/>
      <c r="E346" s="15"/>
      <c r="F346" s="15"/>
    </row>
    <row r="347" spans="3:6" s="3" customFormat="1" ht="14.25">
      <c r="C347" s="15"/>
      <c r="D347" s="15"/>
      <c r="E347" s="15"/>
      <c r="F347" s="15"/>
    </row>
    <row r="348" spans="3:6" s="3" customFormat="1" ht="14.25">
      <c r="C348" s="15"/>
      <c r="D348" s="15"/>
      <c r="E348" s="15"/>
      <c r="F348" s="15"/>
    </row>
    <row r="349" spans="3:6" s="3" customFormat="1" ht="14.25">
      <c r="C349" s="15"/>
      <c r="D349" s="15"/>
      <c r="E349" s="15"/>
      <c r="F349" s="15"/>
    </row>
    <row r="350" spans="3:6" s="3" customFormat="1" ht="14.25">
      <c r="C350" s="15"/>
      <c r="D350" s="15"/>
      <c r="E350" s="15"/>
      <c r="F350" s="15"/>
    </row>
    <row r="351" spans="3:6" s="3" customFormat="1" ht="14.25">
      <c r="C351" s="15"/>
      <c r="D351" s="15"/>
      <c r="E351" s="15"/>
      <c r="F351" s="15"/>
    </row>
    <row r="352" spans="3:6" s="3" customFormat="1" ht="14.25">
      <c r="C352" s="15"/>
      <c r="D352" s="15"/>
      <c r="E352" s="15"/>
      <c r="F352" s="15"/>
    </row>
    <row r="353" spans="3:6" s="3" customFormat="1" ht="14.25">
      <c r="C353" s="15"/>
      <c r="D353" s="15"/>
      <c r="E353" s="15"/>
      <c r="F353" s="15"/>
    </row>
    <row r="354" spans="3:6" s="3" customFormat="1" ht="14.25">
      <c r="C354" s="15"/>
      <c r="D354" s="15"/>
      <c r="E354" s="15"/>
      <c r="F354" s="15"/>
    </row>
    <row r="355" spans="3:6" s="3" customFormat="1" ht="14.25">
      <c r="C355" s="15"/>
      <c r="D355" s="15"/>
      <c r="E355" s="15"/>
      <c r="F355" s="15"/>
    </row>
    <row r="356" spans="3:6" s="3" customFormat="1" ht="14.25">
      <c r="C356" s="15"/>
      <c r="D356" s="15"/>
      <c r="E356" s="15"/>
      <c r="F356" s="15"/>
    </row>
    <row r="357" spans="3:6" s="3" customFormat="1" ht="14.25">
      <c r="C357" s="15"/>
      <c r="D357" s="15"/>
      <c r="E357" s="15"/>
      <c r="F357" s="15"/>
    </row>
    <row r="358" spans="3:6" s="3" customFormat="1" ht="14.25">
      <c r="C358" s="15"/>
      <c r="D358" s="15"/>
      <c r="E358" s="15"/>
      <c r="F358" s="15"/>
    </row>
    <row r="359" spans="3:6" s="3" customFormat="1" ht="14.25">
      <c r="C359" s="15"/>
      <c r="D359" s="15"/>
      <c r="E359" s="15"/>
      <c r="F359" s="15"/>
    </row>
    <row r="360" spans="3:6" s="3" customFormat="1" ht="14.25">
      <c r="C360" s="15"/>
      <c r="D360" s="15"/>
      <c r="E360" s="15"/>
      <c r="F360" s="15"/>
    </row>
    <row r="361" spans="3:6" s="3" customFormat="1" ht="14.25">
      <c r="C361" s="15"/>
      <c r="D361" s="15"/>
      <c r="E361" s="15"/>
      <c r="F361" s="15"/>
    </row>
    <row r="362" spans="3:6" s="3" customFormat="1" ht="14.25">
      <c r="C362" s="15"/>
      <c r="D362" s="15"/>
      <c r="E362" s="15"/>
      <c r="F362" s="15"/>
    </row>
    <row r="363" spans="3:6" s="3" customFormat="1" ht="14.25">
      <c r="C363" s="15"/>
      <c r="D363" s="15"/>
      <c r="E363" s="15"/>
      <c r="F363" s="15"/>
    </row>
    <row r="364" spans="3:6" s="3" customFormat="1" ht="14.25">
      <c r="C364" s="15"/>
      <c r="D364" s="15"/>
      <c r="E364" s="15"/>
      <c r="F364" s="15"/>
    </row>
    <row r="365" spans="3:6" s="3" customFormat="1" ht="14.25">
      <c r="C365" s="15"/>
      <c r="D365" s="15"/>
      <c r="E365" s="15"/>
      <c r="F365" s="15"/>
    </row>
    <row r="366" spans="3:6" s="3" customFormat="1" ht="14.25">
      <c r="C366" s="15"/>
      <c r="D366" s="15"/>
      <c r="E366" s="15"/>
      <c r="F366" s="15"/>
    </row>
    <row r="367" spans="3:6" s="3" customFormat="1" ht="14.25">
      <c r="C367" s="15"/>
      <c r="D367" s="15"/>
      <c r="E367" s="15"/>
      <c r="F367" s="15"/>
    </row>
    <row r="368" spans="3:6" s="3" customFormat="1" ht="14.25">
      <c r="C368" s="15"/>
      <c r="D368" s="15"/>
      <c r="E368" s="15"/>
      <c r="F368" s="15"/>
    </row>
    <row r="369" spans="3:6" s="3" customFormat="1" ht="14.25">
      <c r="C369" s="15"/>
      <c r="D369" s="15"/>
      <c r="E369" s="15"/>
      <c r="F369" s="15"/>
    </row>
    <row r="370" spans="3:6" s="3" customFormat="1" ht="14.25">
      <c r="C370" s="15"/>
      <c r="D370" s="15"/>
      <c r="E370" s="15"/>
      <c r="F370" s="15"/>
    </row>
    <row r="371" spans="3:6" s="3" customFormat="1" ht="14.25">
      <c r="C371" s="15"/>
      <c r="D371" s="15"/>
      <c r="E371" s="15"/>
      <c r="F371" s="15"/>
    </row>
    <row r="372" spans="3:6" s="3" customFormat="1" ht="14.25">
      <c r="C372" s="15"/>
      <c r="D372" s="15"/>
      <c r="E372" s="15"/>
      <c r="F372" s="15"/>
    </row>
    <row r="373" spans="3:6" s="3" customFormat="1" ht="14.25">
      <c r="C373" s="15"/>
      <c r="D373" s="15"/>
      <c r="E373" s="15"/>
      <c r="F373" s="15"/>
    </row>
    <row r="374" spans="3:6" s="3" customFormat="1" ht="14.25">
      <c r="C374" s="15"/>
      <c r="D374" s="15"/>
      <c r="E374" s="15"/>
      <c r="F374" s="15"/>
    </row>
    <row r="375" spans="3:6" s="3" customFormat="1" ht="14.25">
      <c r="C375" s="15"/>
      <c r="D375" s="15"/>
      <c r="E375" s="15"/>
      <c r="F375" s="15"/>
    </row>
    <row r="376" spans="3:6" s="3" customFormat="1" ht="14.25">
      <c r="C376" s="15"/>
      <c r="D376" s="15"/>
      <c r="E376" s="15"/>
      <c r="F376" s="15"/>
    </row>
    <row r="377" spans="3:6" s="3" customFormat="1" ht="14.25">
      <c r="C377" s="15"/>
      <c r="D377" s="15"/>
      <c r="E377" s="15"/>
      <c r="F377" s="15"/>
    </row>
    <row r="378" spans="3:6" s="3" customFormat="1" ht="14.25">
      <c r="C378" s="15"/>
      <c r="D378" s="15"/>
      <c r="E378" s="15"/>
      <c r="F378" s="15"/>
    </row>
    <row r="379" spans="3:6" s="3" customFormat="1" ht="14.25">
      <c r="C379" s="15"/>
      <c r="D379" s="15"/>
      <c r="E379" s="15"/>
      <c r="F379" s="15"/>
    </row>
    <row r="380" spans="3:6" s="3" customFormat="1" ht="14.25">
      <c r="C380" s="15"/>
      <c r="D380" s="15"/>
      <c r="E380" s="15"/>
      <c r="F380" s="15"/>
    </row>
    <row r="381" spans="3:6" s="3" customFormat="1" ht="14.25">
      <c r="C381" s="15"/>
      <c r="D381" s="15"/>
      <c r="E381" s="15"/>
      <c r="F381" s="15"/>
    </row>
    <row r="382" spans="3:6" s="3" customFormat="1" ht="14.25">
      <c r="C382" s="15"/>
      <c r="D382" s="15"/>
      <c r="E382" s="15"/>
      <c r="F382" s="15"/>
    </row>
    <row r="383" spans="3:6" s="3" customFormat="1" ht="14.25">
      <c r="C383" s="15"/>
      <c r="D383" s="15"/>
      <c r="E383" s="15"/>
      <c r="F383" s="15"/>
    </row>
    <row r="384" spans="3:6" s="3" customFormat="1" ht="14.25">
      <c r="C384" s="15"/>
      <c r="D384" s="15"/>
      <c r="E384" s="15"/>
      <c r="F384" s="15"/>
    </row>
    <row r="385" spans="3:6" s="3" customFormat="1" ht="14.25">
      <c r="C385" s="15"/>
      <c r="D385" s="15"/>
      <c r="E385" s="15"/>
      <c r="F385" s="15"/>
    </row>
    <row r="386" spans="3:6" s="3" customFormat="1" ht="14.25">
      <c r="C386" s="15"/>
      <c r="D386" s="15"/>
      <c r="E386" s="15"/>
      <c r="F386" s="15"/>
    </row>
    <row r="387" spans="3:6" s="3" customFormat="1" ht="14.25">
      <c r="C387" s="15"/>
      <c r="D387" s="15"/>
      <c r="E387" s="15"/>
      <c r="F387" s="15"/>
    </row>
    <row r="388" spans="3:6" s="3" customFormat="1" ht="14.25">
      <c r="C388" s="15"/>
      <c r="D388" s="15"/>
      <c r="E388" s="15"/>
      <c r="F388" s="15"/>
    </row>
    <row r="389" spans="3:6" s="3" customFormat="1" ht="14.25">
      <c r="C389" s="15"/>
      <c r="D389" s="15"/>
      <c r="E389" s="15"/>
      <c r="F389" s="15"/>
    </row>
    <row r="390" spans="3:6" s="3" customFormat="1" ht="14.25">
      <c r="C390" s="15"/>
      <c r="D390" s="15"/>
      <c r="E390" s="15"/>
      <c r="F390" s="15"/>
    </row>
    <row r="391" spans="3:6" s="3" customFormat="1" ht="14.25">
      <c r="C391" s="15"/>
      <c r="D391" s="15"/>
      <c r="E391" s="15"/>
      <c r="F391" s="15"/>
    </row>
    <row r="392" spans="3:6" s="3" customFormat="1" ht="14.25">
      <c r="C392" s="15"/>
      <c r="D392" s="15"/>
      <c r="E392" s="15"/>
      <c r="F392" s="15"/>
    </row>
    <row r="393" spans="3:6" s="3" customFormat="1" ht="14.25">
      <c r="C393" s="15"/>
      <c r="D393" s="15"/>
      <c r="E393" s="15"/>
      <c r="F393" s="15"/>
    </row>
    <row r="394" spans="3:6" s="3" customFormat="1" ht="14.25">
      <c r="C394" s="15"/>
      <c r="D394" s="15"/>
      <c r="E394" s="15"/>
      <c r="F394" s="15"/>
    </row>
    <row r="395" spans="3:6" s="3" customFormat="1" ht="14.25">
      <c r="C395" s="15"/>
      <c r="D395" s="15"/>
      <c r="E395" s="15"/>
      <c r="F395" s="15"/>
    </row>
    <row r="396" spans="3:6" s="3" customFormat="1" ht="14.25">
      <c r="C396" s="15"/>
      <c r="D396" s="15"/>
      <c r="E396" s="15"/>
      <c r="F396" s="15"/>
    </row>
    <row r="397" spans="3:6" s="3" customFormat="1" ht="14.25">
      <c r="C397" s="15"/>
      <c r="D397" s="15"/>
      <c r="E397" s="15"/>
      <c r="F397" s="15"/>
    </row>
    <row r="398" spans="3:6" s="3" customFormat="1" ht="14.25">
      <c r="C398" s="15"/>
      <c r="D398" s="15"/>
      <c r="E398" s="15"/>
      <c r="F398" s="15"/>
    </row>
    <row r="399" spans="3:6" s="3" customFormat="1" ht="14.25">
      <c r="C399" s="15"/>
      <c r="D399" s="15"/>
      <c r="E399" s="15"/>
      <c r="F399" s="15"/>
    </row>
    <row r="400" spans="3:6" s="3" customFormat="1" ht="14.25">
      <c r="C400" s="15"/>
      <c r="D400" s="15"/>
      <c r="E400" s="15"/>
      <c r="F400" s="15"/>
    </row>
    <row r="401" spans="3:6" s="3" customFormat="1" ht="14.25">
      <c r="C401" s="15"/>
      <c r="D401" s="15"/>
      <c r="E401" s="15"/>
      <c r="F401" s="15"/>
    </row>
    <row r="402" spans="3:6" s="3" customFormat="1" ht="14.25">
      <c r="C402" s="15"/>
      <c r="D402" s="15"/>
      <c r="E402" s="15"/>
      <c r="F402" s="15"/>
    </row>
    <row r="403" spans="3:6" s="3" customFormat="1" ht="14.25">
      <c r="C403" s="15"/>
      <c r="D403" s="15"/>
      <c r="E403" s="15"/>
      <c r="F403" s="15"/>
    </row>
    <row r="404" spans="3:6" s="3" customFormat="1" ht="14.25">
      <c r="C404" s="15"/>
      <c r="D404" s="15"/>
      <c r="E404" s="15"/>
      <c r="F404" s="15"/>
    </row>
    <row r="405" spans="3:6" s="3" customFormat="1" ht="14.25">
      <c r="C405" s="15"/>
      <c r="D405" s="15"/>
      <c r="E405" s="15"/>
      <c r="F405" s="15"/>
    </row>
    <row r="406" spans="3:6" s="3" customFormat="1" ht="14.25">
      <c r="C406" s="15"/>
      <c r="D406" s="15"/>
      <c r="E406" s="15"/>
      <c r="F406" s="15"/>
    </row>
    <row r="407" spans="3:6" s="3" customFormat="1" ht="14.25">
      <c r="C407" s="15"/>
      <c r="D407" s="15"/>
      <c r="E407" s="15"/>
      <c r="F407" s="15"/>
    </row>
    <row r="408" spans="3:6" s="3" customFormat="1" ht="14.25">
      <c r="C408" s="15"/>
      <c r="D408" s="15"/>
      <c r="E408" s="15"/>
      <c r="F408" s="15"/>
    </row>
    <row r="409" spans="3:6" s="3" customFormat="1" ht="14.25">
      <c r="C409" s="15"/>
      <c r="D409" s="15"/>
      <c r="E409" s="15"/>
      <c r="F409" s="15"/>
    </row>
    <row r="410" spans="3:6" s="3" customFormat="1" ht="14.25">
      <c r="C410" s="15"/>
      <c r="D410" s="15"/>
      <c r="E410" s="15"/>
      <c r="F410" s="15"/>
    </row>
    <row r="411" spans="3:6" s="3" customFormat="1" ht="14.25">
      <c r="C411" s="15"/>
      <c r="D411" s="15"/>
      <c r="E411" s="15"/>
      <c r="F411" s="15"/>
    </row>
    <row r="412" spans="3:6" s="3" customFormat="1" ht="14.25">
      <c r="C412" s="15"/>
      <c r="D412" s="15"/>
      <c r="E412" s="15"/>
      <c r="F412" s="15"/>
    </row>
    <row r="413" spans="3:6" s="3" customFormat="1" ht="14.25">
      <c r="C413" s="15"/>
      <c r="D413" s="15"/>
      <c r="E413" s="15"/>
      <c r="F413" s="15"/>
    </row>
    <row r="414" spans="3:6" s="3" customFormat="1" ht="14.25">
      <c r="C414" s="15"/>
      <c r="D414" s="15"/>
      <c r="E414" s="15"/>
      <c r="F414" s="15"/>
    </row>
    <row r="415" spans="3:6" s="3" customFormat="1" ht="14.25">
      <c r="C415" s="15"/>
      <c r="D415" s="15"/>
      <c r="E415" s="15"/>
      <c r="F415" s="15"/>
    </row>
    <row r="416" spans="3:6" s="3" customFormat="1" ht="14.25">
      <c r="C416" s="15"/>
      <c r="D416" s="15"/>
      <c r="E416" s="15"/>
      <c r="F416" s="15"/>
    </row>
    <row r="417" spans="3:6" s="3" customFormat="1" ht="14.25">
      <c r="C417" s="15"/>
      <c r="D417" s="15"/>
      <c r="E417" s="15"/>
      <c r="F417" s="15"/>
    </row>
    <row r="418" spans="3:6" s="3" customFormat="1" ht="14.25">
      <c r="C418" s="15"/>
      <c r="D418" s="15"/>
      <c r="E418" s="15"/>
      <c r="F418" s="15"/>
    </row>
    <row r="419" spans="3:6" s="3" customFormat="1" ht="14.25">
      <c r="C419" s="15"/>
      <c r="D419" s="15"/>
      <c r="E419" s="15"/>
      <c r="F419" s="15"/>
    </row>
    <row r="420" spans="3:6" s="3" customFormat="1" ht="14.25">
      <c r="C420" s="15"/>
      <c r="D420" s="15"/>
      <c r="E420" s="15"/>
      <c r="F420" s="15"/>
    </row>
    <row r="421" spans="3:6" s="3" customFormat="1" ht="14.25">
      <c r="C421" s="15"/>
      <c r="D421" s="15"/>
      <c r="E421" s="15"/>
      <c r="F421" s="15"/>
    </row>
    <row r="422" spans="3:6" s="3" customFormat="1" ht="14.25">
      <c r="C422" s="15"/>
      <c r="D422" s="15"/>
      <c r="E422" s="15"/>
      <c r="F422" s="15"/>
    </row>
    <row r="423" spans="3:6" s="3" customFormat="1" ht="14.25">
      <c r="C423" s="15"/>
      <c r="D423" s="15"/>
      <c r="E423" s="15"/>
      <c r="F423" s="15"/>
    </row>
    <row r="424" spans="3:6" s="3" customFormat="1" ht="14.25">
      <c r="C424" s="15"/>
      <c r="D424" s="15"/>
      <c r="E424" s="15"/>
      <c r="F424" s="15"/>
    </row>
    <row r="425" spans="3:6" s="3" customFormat="1" ht="14.25">
      <c r="C425" s="15"/>
      <c r="D425" s="15"/>
      <c r="E425" s="15"/>
      <c r="F425" s="15"/>
    </row>
    <row r="426" spans="3:6" s="3" customFormat="1" ht="14.25">
      <c r="C426" s="15"/>
      <c r="D426" s="15"/>
      <c r="E426" s="15"/>
      <c r="F426" s="15"/>
    </row>
    <row r="427" spans="3:6" s="3" customFormat="1" ht="14.25">
      <c r="C427" s="15"/>
      <c r="D427" s="15"/>
      <c r="E427" s="15"/>
      <c r="F427" s="15"/>
    </row>
    <row r="428" spans="3:6" s="3" customFormat="1" ht="14.25">
      <c r="C428" s="15"/>
      <c r="D428" s="15"/>
      <c r="E428" s="15"/>
      <c r="F428" s="15"/>
    </row>
    <row r="429" spans="3:6" s="3" customFormat="1" ht="14.25">
      <c r="C429" s="15"/>
      <c r="D429" s="15"/>
      <c r="E429" s="15"/>
      <c r="F429" s="15"/>
    </row>
    <row r="430" spans="3:6" s="3" customFormat="1" ht="14.25">
      <c r="C430" s="15"/>
      <c r="D430" s="15"/>
      <c r="E430" s="15"/>
      <c r="F430" s="15"/>
    </row>
    <row r="431" spans="3:6" s="3" customFormat="1" ht="14.25">
      <c r="C431" s="15"/>
      <c r="D431" s="15"/>
      <c r="E431" s="15"/>
      <c r="F431" s="15"/>
    </row>
    <row r="432" spans="3:6" s="3" customFormat="1" ht="14.25">
      <c r="C432" s="15"/>
      <c r="D432" s="15"/>
      <c r="E432" s="15"/>
      <c r="F432" s="15"/>
    </row>
    <row r="433" spans="3:6" s="3" customFormat="1" ht="14.25">
      <c r="C433" s="15"/>
      <c r="D433" s="15"/>
      <c r="E433" s="15"/>
      <c r="F433" s="15"/>
    </row>
    <row r="434" spans="3:6" s="3" customFormat="1" ht="14.25">
      <c r="C434" s="15"/>
      <c r="D434" s="15"/>
      <c r="E434" s="15"/>
      <c r="F434" s="15"/>
    </row>
    <row r="435" spans="3:6" s="3" customFormat="1" ht="14.25">
      <c r="C435" s="15"/>
      <c r="D435" s="15"/>
      <c r="E435" s="15"/>
      <c r="F435" s="15"/>
    </row>
    <row r="436" spans="3:6" s="3" customFormat="1" ht="14.25">
      <c r="C436" s="15"/>
      <c r="D436" s="15"/>
      <c r="E436" s="15"/>
      <c r="F436" s="15"/>
    </row>
    <row r="437" spans="3:6" s="3" customFormat="1" ht="14.25">
      <c r="C437" s="15"/>
      <c r="D437" s="15"/>
      <c r="E437" s="15"/>
      <c r="F437" s="15"/>
    </row>
    <row r="438" spans="3:6" s="3" customFormat="1" ht="14.25">
      <c r="C438" s="15"/>
      <c r="D438" s="15"/>
      <c r="E438" s="15"/>
      <c r="F438" s="15"/>
    </row>
    <row r="439" spans="3:6" s="3" customFormat="1" ht="14.25">
      <c r="C439" s="15"/>
      <c r="D439" s="15"/>
      <c r="E439" s="15"/>
      <c r="F439" s="15"/>
    </row>
    <row r="440" spans="3:6" s="3" customFormat="1" ht="14.25">
      <c r="C440" s="15"/>
      <c r="D440" s="15"/>
      <c r="E440" s="15"/>
      <c r="F440" s="15"/>
    </row>
    <row r="441" spans="3:6" s="3" customFormat="1" ht="14.25">
      <c r="C441" s="15"/>
      <c r="D441" s="15"/>
      <c r="E441" s="15"/>
      <c r="F441" s="15"/>
    </row>
    <row r="442" spans="3:6" s="3" customFormat="1" ht="14.25">
      <c r="C442" s="15"/>
      <c r="D442" s="15"/>
      <c r="E442" s="15"/>
      <c r="F442" s="15"/>
    </row>
    <row r="443" spans="3:6" s="3" customFormat="1" ht="14.25">
      <c r="C443" s="15"/>
      <c r="D443" s="15"/>
      <c r="E443" s="15"/>
      <c r="F443" s="15"/>
    </row>
    <row r="444" spans="3:6" s="3" customFormat="1" ht="14.25">
      <c r="C444" s="15"/>
      <c r="D444" s="15"/>
      <c r="E444" s="15"/>
      <c r="F444" s="15"/>
    </row>
    <row r="445" spans="3:6" s="3" customFormat="1" ht="14.25">
      <c r="C445" s="15"/>
      <c r="D445" s="15"/>
      <c r="E445" s="15"/>
      <c r="F445" s="15"/>
    </row>
    <row r="446" spans="3:6" s="3" customFormat="1" ht="14.25">
      <c r="C446" s="15"/>
      <c r="D446" s="15"/>
      <c r="E446" s="15"/>
      <c r="F446" s="15"/>
    </row>
    <row r="447" spans="3:6" s="3" customFormat="1" ht="14.25">
      <c r="C447" s="15"/>
      <c r="D447" s="15"/>
      <c r="E447" s="15"/>
      <c r="F447" s="15"/>
    </row>
    <row r="448" spans="3:6" s="3" customFormat="1" ht="14.25">
      <c r="C448" s="15"/>
      <c r="D448" s="15"/>
      <c r="E448" s="15"/>
      <c r="F448" s="15"/>
    </row>
    <row r="449" spans="3:6" s="3" customFormat="1" ht="14.25">
      <c r="C449" s="15"/>
      <c r="D449" s="15"/>
      <c r="E449" s="15"/>
      <c r="F449" s="15"/>
    </row>
    <row r="450" spans="3:6" s="3" customFormat="1" ht="14.25">
      <c r="C450" s="15"/>
      <c r="D450" s="15"/>
      <c r="E450" s="15"/>
      <c r="F450" s="15"/>
    </row>
    <row r="451" spans="3:6" s="3" customFormat="1" ht="14.25">
      <c r="C451" s="15"/>
      <c r="D451" s="15"/>
      <c r="E451" s="15"/>
      <c r="F451" s="15"/>
    </row>
    <row r="452" spans="3:6" s="3" customFormat="1" ht="14.25">
      <c r="C452" s="15"/>
      <c r="D452" s="15"/>
      <c r="E452" s="15"/>
      <c r="F452" s="15"/>
    </row>
    <row r="453" spans="3:6" s="3" customFormat="1" ht="14.25">
      <c r="C453" s="15"/>
      <c r="D453" s="15"/>
      <c r="E453" s="15"/>
      <c r="F453" s="15"/>
    </row>
    <row r="454" spans="3:6" s="3" customFormat="1" ht="14.25">
      <c r="C454" s="15"/>
      <c r="D454" s="15"/>
      <c r="E454" s="15"/>
      <c r="F454" s="15"/>
    </row>
    <row r="455" spans="3:6" s="3" customFormat="1" ht="14.25">
      <c r="C455" s="15"/>
      <c r="D455" s="15"/>
      <c r="E455" s="15"/>
      <c r="F455" s="15"/>
    </row>
    <row r="456" spans="3:6" s="3" customFormat="1" ht="14.25">
      <c r="C456" s="15"/>
      <c r="D456" s="15"/>
      <c r="E456" s="15"/>
      <c r="F456" s="15"/>
    </row>
    <row r="457" spans="3:6" s="3" customFormat="1" ht="14.25">
      <c r="C457" s="15"/>
      <c r="D457" s="15"/>
      <c r="E457" s="15"/>
      <c r="F457" s="15"/>
    </row>
    <row r="458" spans="3:6" s="3" customFormat="1" ht="14.25">
      <c r="C458" s="15"/>
      <c r="D458" s="15"/>
      <c r="E458" s="15"/>
      <c r="F458" s="15"/>
    </row>
    <row r="459" spans="3:6" s="3" customFormat="1" ht="14.25">
      <c r="C459" s="15"/>
      <c r="D459" s="15"/>
      <c r="E459" s="15"/>
      <c r="F459" s="15"/>
    </row>
    <row r="460" spans="3:6" s="3" customFormat="1" ht="14.25">
      <c r="C460" s="15"/>
      <c r="D460" s="15"/>
      <c r="E460" s="15"/>
      <c r="F460" s="15"/>
    </row>
    <row r="461" spans="3:6" s="3" customFormat="1" ht="14.25">
      <c r="C461" s="15"/>
      <c r="D461" s="15"/>
      <c r="E461" s="15"/>
      <c r="F461" s="15"/>
    </row>
    <row r="462" spans="3:6" s="3" customFormat="1" ht="14.25">
      <c r="C462" s="15"/>
      <c r="D462" s="15"/>
      <c r="E462" s="15"/>
      <c r="F462" s="15"/>
    </row>
    <row r="463" spans="3:6" s="3" customFormat="1" ht="14.25">
      <c r="C463" s="15"/>
      <c r="D463" s="15"/>
      <c r="E463" s="15"/>
      <c r="F463" s="15"/>
    </row>
    <row r="464" spans="3:6" s="3" customFormat="1" ht="14.25">
      <c r="C464" s="15"/>
      <c r="D464" s="15"/>
      <c r="E464" s="15"/>
      <c r="F464" s="15"/>
    </row>
    <row r="465" spans="3:6" s="3" customFormat="1" ht="14.25">
      <c r="C465" s="15"/>
      <c r="D465" s="15"/>
      <c r="E465" s="15"/>
      <c r="F465" s="15"/>
    </row>
    <row r="466" spans="3:6" s="3" customFormat="1" ht="14.25">
      <c r="C466" s="15"/>
      <c r="D466" s="15"/>
      <c r="E466" s="15"/>
      <c r="F466" s="15"/>
    </row>
    <row r="467" spans="3:6" s="3" customFormat="1" ht="14.25">
      <c r="C467" s="15"/>
      <c r="D467" s="15"/>
      <c r="E467" s="15"/>
      <c r="F467" s="15"/>
    </row>
    <row r="468" spans="3:6" s="3" customFormat="1" ht="14.25">
      <c r="C468" s="15"/>
      <c r="D468" s="15"/>
      <c r="E468" s="15"/>
      <c r="F468" s="15"/>
    </row>
    <row r="469" spans="3:6" s="3" customFormat="1" ht="14.25">
      <c r="C469" s="15"/>
      <c r="D469" s="15"/>
      <c r="E469" s="15"/>
      <c r="F469" s="15"/>
    </row>
    <row r="470" spans="3:6" s="3" customFormat="1" ht="14.25">
      <c r="C470" s="15"/>
      <c r="D470" s="15"/>
      <c r="E470" s="15"/>
      <c r="F470" s="15"/>
    </row>
    <row r="471" spans="3:6" s="3" customFormat="1" ht="14.25">
      <c r="C471" s="15"/>
      <c r="D471" s="15"/>
      <c r="E471" s="15"/>
      <c r="F471" s="15"/>
    </row>
    <row r="472" spans="3:6" s="3" customFormat="1" ht="14.25">
      <c r="C472" s="15"/>
      <c r="D472" s="15"/>
      <c r="E472" s="15"/>
      <c r="F472" s="15"/>
    </row>
    <row r="473" spans="3:6" s="3" customFormat="1" ht="14.25">
      <c r="C473" s="15"/>
      <c r="D473" s="15"/>
      <c r="E473" s="15"/>
      <c r="F473" s="15"/>
    </row>
    <row r="474" spans="3:6" s="3" customFormat="1" ht="14.25">
      <c r="C474" s="15"/>
      <c r="D474" s="15"/>
      <c r="E474" s="15"/>
      <c r="F474" s="15"/>
    </row>
    <row r="475" spans="3:6" s="3" customFormat="1" ht="14.25">
      <c r="C475" s="15"/>
      <c r="D475" s="15"/>
      <c r="E475" s="15"/>
      <c r="F475" s="15"/>
    </row>
    <row r="476" spans="3:6" s="3" customFormat="1" ht="14.25">
      <c r="C476" s="15"/>
      <c r="D476" s="15"/>
      <c r="E476" s="15"/>
      <c r="F476" s="15"/>
    </row>
    <row r="477" spans="3:6" s="3" customFormat="1" ht="14.25">
      <c r="C477" s="15"/>
      <c r="D477" s="15"/>
      <c r="E477" s="15"/>
      <c r="F477" s="15"/>
    </row>
    <row r="478" spans="3:6" s="3" customFormat="1" ht="14.25">
      <c r="C478" s="15"/>
      <c r="D478" s="15"/>
      <c r="E478" s="15"/>
      <c r="F478" s="15"/>
    </row>
    <row r="479" spans="3:6" s="3" customFormat="1" ht="14.25">
      <c r="C479" s="15"/>
      <c r="D479" s="15"/>
      <c r="E479" s="15"/>
      <c r="F479" s="15"/>
    </row>
    <row r="480" spans="3:6" s="3" customFormat="1" ht="14.25">
      <c r="C480" s="15"/>
      <c r="D480" s="15"/>
      <c r="E480" s="15"/>
      <c r="F480" s="15"/>
    </row>
    <row r="481" spans="3:6" s="3" customFormat="1" ht="14.25">
      <c r="C481" s="15"/>
      <c r="D481" s="15"/>
      <c r="E481" s="15"/>
      <c r="F481" s="15"/>
    </row>
    <row r="482" spans="3:6" s="3" customFormat="1" ht="14.25">
      <c r="C482" s="15"/>
      <c r="D482" s="15"/>
      <c r="E482" s="15"/>
      <c r="F482" s="15"/>
    </row>
    <row r="483" spans="3:6" s="3" customFormat="1" ht="14.25">
      <c r="C483" s="15"/>
      <c r="D483" s="15"/>
      <c r="E483" s="15"/>
      <c r="F483" s="15"/>
    </row>
    <row r="484" spans="3:6" s="3" customFormat="1" ht="14.25">
      <c r="C484" s="15"/>
      <c r="D484" s="15"/>
      <c r="E484" s="15"/>
      <c r="F484" s="15"/>
    </row>
    <row r="485" spans="3:6" s="3" customFormat="1" ht="14.25">
      <c r="C485" s="15"/>
      <c r="D485" s="15"/>
      <c r="E485" s="15"/>
      <c r="F485" s="15"/>
    </row>
    <row r="486" spans="3:6" s="3" customFormat="1" ht="14.25">
      <c r="C486" s="15"/>
      <c r="D486" s="15"/>
      <c r="E486" s="15"/>
      <c r="F486" s="15"/>
    </row>
    <row r="487" spans="3:6" s="3" customFormat="1" ht="14.25">
      <c r="C487" s="15"/>
      <c r="D487" s="15"/>
      <c r="E487" s="15"/>
      <c r="F487" s="15"/>
    </row>
    <row r="488" spans="3:6" s="3" customFormat="1" ht="14.25">
      <c r="C488" s="15"/>
      <c r="D488" s="15"/>
      <c r="E488" s="15"/>
      <c r="F488" s="15"/>
    </row>
    <row r="489" spans="3:6" s="3" customFormat="1" ht="14.25">
      <c r="C489" s="15"/>
      <c r="D489" s="15"/>
      <c r="E489" s="15"/>
      <c r="F489" s="15"/>
    </row>
    <row r="490" spans="3:6" s="3" customFormat="1" ht="14.25">
      <c r="C490" s="15"/>
      <c r="D490" s="15"/>
      <c r="E490" s="15"/>
      <c r="F490" s="15"/>
    </row>
    <row r="491" spans="3:6" s="3" customFormat="1" ht="14.25">
      <c r="C491" s="15"/>
      <c r="D491" s="15"/>
      <c r="E491" s="15"/>
      <c r="F491" s="15"/>
    </row>
    <row r="492" spans="3:6" s="3" customFormat="1" ht="14.25">
      <c r="C492" s="15"/>
      <c r="D492" s="15"/>
      <c r="E492" s="15"/>
      <c r="F492" s="15"/>
    </row>
    <row r="493" spans="3:6" s="3" customFormat="1" ht="14.25">
      <c r="C493" s="15"/>
      <c r="D493" s="15"/>
      <c r="E493" s="15"/>
      <c r="F493" s="15"/>
    </row>
    <row r="494" spans="3:6" s="3" customFormat="1" ht="14.25">
      <c r="C494" s="15"/>
      <c r="D494" s="15"/>
      <c r="E494" s="15"/>
      <c r="F494" s="15"/>
    </row>
    <row r="495" spans="3:6" s="3" customFormat="1" ht="14.25">
      <c r="C495" s="15"/>
      <c r="D495" s="15"/>
      <c r="E495" s="15"/>
      <c r="F495" s="15"/>
    </row>
    <row r="496" spans="3:6" s="3" customFormat="1" ht="14.25">
      <c r="C496" s="15"/>
      <c r="D496" s="15"/>
      <c r="E496" s="15"/>
      <c r="F496" s="15"/>
    </row>
    <row r="497" spans="3:6" s="3" customFormat="1" ht="14.25">
      <c r="C497" s="15"/>
      <c r="D497" s="15"/>
      <c r="E497" s="15"/>
      <c r="F497" s="15"/>
    </row>
    <row r="498" spans="3:6" s="3" customFormat="1" ht="14.25">
      <c r="C498" s="15"/>
      <c r="D498" s="15"/>
      <c r="E498" s="15"/>
      <c r="F498" s="15"/>
    </row>
    <row r="499" spans="3:6" s="3" customFormat="1" ht="14.25">
      <c r="C499" s="15"/>
      <c r="D499" s="15"/>
      <c r="E499" s="15"/>
      <c r="F499" s="15"/>
    </row>
    <row r="500" spans="3:6" s="3" customFormat="1" ht="14.25">
      <c r="C500" s="15"/>
      <c r="D500" s="15"/>
      <c r="E500" s="15"/>
      <c r="F500" s="15"/>
    </row>
    <row r="501" spans="3:6" s="3" customFormat="1" ht="14.25">
      <c r="C501" s="15"/>
      <c r="D501" s="15"/>
      <c r="E501" s="15"/>
      <c r="F501" s="15"/>
    </row>
    <row r="502" spans="3:6" s="3" customFormat="1" ht="14.25">
      <c r="C502" s="15"/>
      <c r="D502" s="15"/>
      <c r="E502" s="15"/>
      <c r="F502" s="15"/>
    </row>
    <row r="503" spans="3:6" s="3" customFormat="1" ht="14.25">
      <c r="C503" s="15"/>
      <c r="D503" s="15"/>
      <c r="E503" s="15"/>
      <c r="F503" s="15"/>
    </row>
    <row r="504" spans="3:6" s="3" customFormat="1" ht="14.25">
      <c r="C504" s="15"/>
      <c r="D504" s="15"/>
      <c r="E504" s="15"/>
      <c r="F504" s="15"/>
    </row>
    <row r="505" spans="3:6" s="3" customFormat="1" ht="14.25">
      <c r="C505" s="15"/>
      <c r="D505" s="15"/>
      <c r="E505" s="15"/>
      <c r="F505" s="15"/>
    </row>
    <row r="506" spans="3:6" s="3" customFormat="1" ht="14.25">
      <c r="C506" s="15"/>
      <c r="D506" s="15"/>
      <c r="E506" s="15"/>
      <c r="F506" s="15"/>
    </row>
    <row r="507" spans="3:6" s="3" customFormat="1" ht="14.25">
      <c r="C507" s="15"/>
      <c r="D507" s="15"/>
      <c r="E507" s="15"/>
      <c r="F507" s="15"/>
    </row>
    <row r="508" spans="3:6" s="3" customFormat="1" ht="14.25">
      <c r="C508" s="15"/>
      <c r="D508" s="15"/>
      <c r="E508" s="15"/>
      <c r="F508" s="15"/>
    </row>
    <row r="509" spans="3:6" s="3" customFormat="1" ht="14.25">
      <c r="C509" s="15"/>
      <c r="D509" s="15"/>
      <c r="E509" s="15"/>
      <c r="F509" s="15"/>
    </row>
    <row r="510" spans="3:6" s="3" customFormat="1" ht="14.25">
      <c r="C510" s="15"/>
      <c r="D510" s="15"/>
      <c r="E510" s="15"/>
      <c r="F510" s="15"/>
    </row>
    <row r="511" spans="3:6" s="3" customFormat="1" ht="14.25">
      <c r="C511" s="15"/>
      <c r="D511" s="15"/>
      <c r="E511" s="15"/>
      <c r="F511" s="15"/>
    </row>
    <row r="512" spans="3:6" s="3" customFormat="1" ht="14.25">
      <c r="C512" s="15"/>
      <c r="D512" s="15"/>
      <c r="E512" s="15"/>
      <c r="F512" s="15"/>
    </row>
    <row r="513" spans="3:6" s="3" customFormat="1" ht="14.25">
      <c r="C513" s="15"/>
      <c r="D513" s="15"/>
      <c r="E513" s="15"/>
      <c r="F513" s="15"/>
    </row>
    <row r="514" spans="3:6" s="3" customFormat="1" ht="14.25">
      <c r="C514" s="15"/>
      <c r="D514" s="15"/>
      <c r="E514" s="15"/>
      <c r="F514" s="15"/>
    </row>
    <row r="515" spans="3:6" s="3" customFormat="1" ht="14.25">
      <c r="C515" s="15"/>
      <c r="D515" s="15"/>
      <c r="E515" s="15"/>
      <c r="F515" s="15"/>
    </row>
    <row r="516" spans="3:6" s="3" customFormat="1" ht="14.25">
      <c r="C516" s="15"/>
      <c r="D516" s="15"/>
      <c r="E516" s="15"/>
      <c r="F516" s="15"/>
    </row>
    <row r="517" spans="3:6" s="3" customFormat="1" ht="14.25">
      <c r="C517" s="15"/>
      <c r="D517" s="15"/>
      <c r="E517" s="15"/>
      <c r="F517" s="15"/>
    </row>
    <row r="518" spans="3:6" s="3" customFormat="1" ht="14.25">
      <c r="C518" s="15"/>
      <c r="D518" s="15"/>
      <c r="E518" s="15"/>
      <c r="F518" s="15"/>
    </row>
    <row r="519" spans="3:6" s="3" customFormat="1" ht="14.25">
      <c r="C519" s="15"/>
      <c r="D519" s="15"/>
      <c r="E519" s="15"/>
      <c r="F519" s="15"/>
    </row>
    <row r="520" spans="3:6" s="3" customFormat="1" ht="14.25">
      <c r="C520" s="15"/>
      <c r="D520" s="15"/>
      <c r="E520" s="15"/>
      <c r="F520" s="15"/>
    </row>
    <row r="521" spans="3:6" s="3" customFormat="1" ht="14.25">
      <c r="C521" s="15"/>
      <c r="D521" s="15"/>
      <c r="E521" s="15"/>
      <c r="F521" s="15"/>
    </row>
    <row r="522" spans="3:6" s="3" customFormat="1" ht="14.25">
      <c r="C522" s="15"/>
      <c r="D522" s="15"/>
      <c r="E522" s="15"/>
      <c r="F522" s="15"/>
    </row>
    <row r="523" spans="3:6" s="3" customFormat="1" ht="14.25">
      <c r="C523" s="15"/>
      <c r="D523" s="15"/>
      <c r="E523" s="15"/>
      <c r="F523" s="15"/>
    </row>
    <row r="524" spans="3:6" s="3" customFormat="1" ht="14.25">
      <c r="C524" s="15"/>
      <c r="D524" s="15"/>
      <c r="E524" s="15"/>
      <c r="F524" s="15"/>
    </row>
    <row r="525" spans="3:6" s="3" customFormat="1" ht="14.25">
      <c r="C525" s="15"/>
      <c r="D525" s="15"/>
      <c r="E525" s="15"/>
      <c r="F525" s="15"/>
    </row>
    <row r="526" spans="3:6" s="3" customFormat="1" ht="14.25">
      <c r="C526" s="15"/>
      <c r="D526" s="15"/>
      <c r="E526" s="15"/>
      <c r="F526" s="15"/>
    </row>
    <row r="527" spans="3:6" s="3" customFormat="1" ht="14.25">
      <c r="C527" s="15"/>
      <c r="D527" s="15"/>
      <c r="E527" s="15"/>
      <c r="F527" s="15"/>
    </row>
    <row r="528" spans="3:6" s="3" customFormat="1" ht="14.25">
      <c r="C528" s="15"/>
      <c r="D528" s="15"/>
      <c r="E528" s="15"/>
      <c r="F528" s="15"/>
    </row>
    <row r="529" spans="3:6" s="3" customFormat="1" ht="14.25">
      <c r="C529" s="15"/>
      <c r="D529" s="15"/>
      <c r="E529" s="15"/>
      <c r="F529" s="15"/>
    </row>
    <row r="530" spans="3:6" s="3" customFormat="1" ht="14.25">
      <c r="C530" s="15"/>
      <c r="D530" s="15"/>
      <c r="E530" s="15"/>
      <c r="F530" s="15"/>
    </row>
    <row r="531" spans="3:6" s="3" customFormat="1" ht="14.25">
      <c r="C531" s="15"/>
      <c r="D531" s="15"/>
      <c r="E531" s="15"/>
      <c r="F531" s="15"/>
    </row>
    <row r="532" spans="3:6" s="3" customFormat="1" ht="14.25">
      <c r="C532" s="15"/>
      <c r="D532" s="15"/>
      <c r="E532" s="15"/>
      <c r="F532" s="15"/>
    </row>
    <row r="533" spans="3:6" s="3" customFormat="1" ht="14.25">
      <c r="C533" s="15"/>
      <c r="D533" s="15"/>
      <c r="E533" s="15"/>
      <c r="F533" s="15"/>
    </row>
    <row r="534" spans="3:6" s="3" customFormat="1" ht="14.25">
      <c r="C534" s="15"/>
      <c r="D534" s="15"/>
      <c r="E534" s="15"/>
      <c r="F534" s="15"/>
    </row>
    <row r="535" spans="3:6" s="3" customFormat="1" ht="14.25">
      <c r="C535" s="15"/>
      <c r="D535" s="15"/>
      <c r="E535" s="15"/>
      <c r="F535" s="15"/>
    </row>
    <row r="536" spans="3:6" s="3" customFormat="1" ht="14.25">
      <c r="C536" s="15"/>
      <c r="D536" s="15"/>
      <c r="E536" s="15"/>
      <c r="F536" s="15"/>
    </row>
    <row r="537" spans="3:6" s="3" customFormat="1" ht="14.25">
      <c r="C537" s="15"/>
      <c r="D537" s="15"/>
      <c r="E537" s="15"/>
      <c r="F537" s="15"/>
    </row>
    <row r="538" spans="3:6" s="3" customFormat="1" ht="14.25">
      <c r="C538" s="15"/>
      <c r="D538" s="15"/>
      <c r="E538" s="15"/>
      <c r="F538" s="15"/>
    </row>
    <row r="539" spans="3:6" s="3" customFormat="1" ht="14.25">
      <c r="C539" s="15"/>
      <c r="D539" s="15"/>
      <c r="E539" s="15"/>
      <c r="F539" s="15"/>
    </row>
    <row r="540" spans="3:6" s="3" customFormat="1" ht="14.25">
      <c r="C540" s="15"/>
      <c r="D540" s="15"/>
      <c r="E540" s="15"/>
      <c r="F540" s="15"/>
    </row>
    <row r="541" spans="3:6" s="3" customFormat="1" ht="14.25">
      <c r="C541" s="15"/>
      <c r="D541" s="15"/>
      <c r="E541" s="15"/>
      <c r="F541" s="15"/>
    </row>
    <row r="542" spans="3:6" s="3" customFormat="1" ht="14.25">
      <c r="C542" s="15"/>
      <c r="D542" s="15"/>
      <c r="E542" s="15"/>
      <c r="F542" s="15"/>
    </row>
    <row r="543" spans="3:6" s="3" customFormat="1" ht="14.25">
      <c r="C543" s="15"/>
      <c r="D543" s="15"/>
      <c r="E543" s="15"/>
      <c r="F543" s="15"/>
    </row>
    <row r="544" spans="3:6" s="3" customFormat="1" ht="14.25">
      <c r="C544" s="15"/>
      <c r="D544" s="15"/>
      <c r="E544" s="15"/>
      <c r="F544" s="15"/>
    </row>
    <row r="545" spans="3:6" s="3" customFormat="1" ht="14.25">
      <c r="C545" s="15"/>
      <c r="D545" s="15"/>
      <c r="E545" s="15"/>
      <c r="F545" s="15"/>
    </row>
    <row r="546" spans="3:6" s="3" customFormat="1" ht="14.25">
      <c r="C546" s="15"/>
      <c r="D546" s="15"/>
      <c r="E546" s="15"/>
      <c r="F546" s="15"/>
    </row>
    <row r="547" spans="3:6" s="3" customFormat="1" ht="14.25">
      <c r="C547" s="15"/>
      <c r="D547" s="15"/>
      <c r="E547" s="15"/>
      <c r="F547" s="15"/>
    </row>
    <row r="548" spans="3:6" s="3" customFormat="1" ht="14.25">
      <c r="C548" s="15"/>
      <c r="D548" s="15"/>
      <c r="E548" s="15"/>
      <c r="F548" s="15"/>
    </row>
    <row r="549" spans="3:6" s="3" customFormat="1" ht="14.25">
      <c r="C549" s="15"/>
      <c r="D549" s="15"/>
      <c r="E549" s="15"/>
      <c r="F549" s="15"/>
    </row>
    <row r="550" spans="3:6" s="3" customFormat="1" ht="14.25">
      <c r="C550" s="15"/>
      <c r="D550" s="15"/>
      <c r="E550" s="15"/>
      <c r="F550" s="15"/>
    </row>
    <row r="551" spans="3:6" s="3" customFormat="1" ht="14.25">
      <c r="C551" s="15"/>
      <c r="D551" s="15"/>
      <c r="E551" s="15"/>
      <c r="F551" s="15"/>
    </row>
    <row r="552" spans="3:6" s="3" customFormat="1" ht="14.25">
      <c r="C552" s="15"/>
      <c r="D552" s="15"/>
      <c r="E552" s="15"/>
      <c r="F552" s="15"/>
    </row>
    <row r="553" spans="3:6" s="3" customFormat="1" ht="14.25">
      <c r="C553" s="15"/>
      <c r="D553" s="15"/>
      <c r="E553" s="15"/>
      <c r="F553" s="15"/>
    </row>
    <row r="554" spans="3:6" s="3" customFormat="1" ht="14.25">
      <c r="C554" s="15"/>
      <c r="D554" s="15"/>
      <c r="E554" s="15"/>
      <c r="F554" s="15"/>
    </row>
    <row r="555" spans="3:6" s="3" customFormat="1" ht="14.25">
      <c r="C555" s="15"/>
      <c r="D555" s="15"/>
      <c r="E555" s="15"/>
      <c r="F555" s="15"/>
    </row>
    <row r="556" spans="3:6" s="3" customFormat="1" ht="14.25">
      <c r="C556" s="15"/>
      <c r="D556" s="15"/>
      <c r="E556" s="15"/>
      <c r="F556" s="15"/>
    </row>
    <row r="557" spans="3:6" s="3" customFormat="1" ht="14.25">
      <c r="C557" s="15"/>
      <c r="D557" s="15"/>
      <c r="E557" s="15"/>
      <c r="F557" s="15"/>
    </row>
    <row r="558" spans="3:6" s="3" customFormat="1" ht="14.25">
      <c r="C558" s="15"/>
      <c r="D558" s="15"/>
      <c r="E558" s="15"/>
      <c r="F558" s="15"/>
    </row>
    <row r="559" spans="3:6" s="3" customFormat="1" ht="14.25">
      <c r="C559" s="15"/>
      <c r="D559" s="15"/>
      <c r="E559" s="15"/>
      <c r="F559" s="15"/>
    </row>
    <row r="560" spans="3:6" s="3" customFormat="1" ht="14.25">
      <c r="C560" s="15"/>
      <c r="D560" s="15"/>
      <c r="E560" s="15"/>
      <c r="F560" s="15"/>
    </row>
    <row r="561" spans="3:6" s="3" customFormat="1" ht="14.25">
      <c r="C561" s="15"/>
      <c r="D561" s="15"/>
      <c r="E561" s="15"/>
      <c r="F561" s="15"/>
    </row>
    <row r="562" spans="3:6" s="3" customFormat="1" ht="14.25">
      <c r="C562" s="15"/>
      <c r="D562" s="15"/>
      <c r="E562" s="15"/>
      <c r="F562" s="15"/>
    </row>
    <row r="563" spans="3:6" s="3" customFormat="1" ht="14.25">
      <c r="C563" s="15"/>
      <c r="D563" s="15"/>
      <c r="E563" s="15"/>
      <c r="F563" s="15"/>
    </row>
    <row r="564" spans="3:6" s="3" customFormat="1" ht="14.25">
      <c r="C564" s="15"/>
      <c r="D564" s="15"/>
      <c r="E564" s="15"/>
      <c r="F564" s="15"/>
    </row>
    <row r="565" spans="3:6" s="3" customFormat="1" ht="14.25">
      <c r="C565" s="15"/>
      <c r="D565" s="15"/>
      <c r="E565" s="15"/>
      <c r="F565" s="15"/>
    </row>
    <row r="566" spans="3:6" s="3" customFormat="1" ht="14.25">
      <c r="C566" s="15"/>
      <c r="D566" s="15"/>
      <c r="E566" s="15"/>
      <c r="F566" s="15"/>
    </row>
    <row r="567" spans="3:6" s="3" customFormat="1" ht="14.25">
      <c r="C567" s="15"/>
      <c r="D567" s="15"/>
      <c r="E567" s="15"/>
      <c r="F567" s="15"/>
    </row>
    <row r="568" spans="3:6" s="3" customFormat="1" ht="14.25">
      <c r="C568" s="15"/>
      <c r="D568" s="15"/>
      <c r="E568" s="15"/>
      <c r="F568" s="15"/>
    </row>
    <row r="569" spans="3:6" s="3" customFormat="1" ht="14.25">
      <c r="C569" s="15"/>
      <c r="D569" s="15"/>
      <c r="E569" s="15"/>
      <c r="F569" s="15"/>
    </row>
    <row r="570" spans="3:6" s="3" customFormat="1" ht="14.25">
      <c r="C570" s="15"/>
      <c r="D570" s="15"/>
      <c r="E570" s="15"/>
      <c r="F570" s="15"/>
    </row>
    <row r="571" spans="3:6" s="3" customFormat="1" ht="14.25">
      <c r="C571" s="15"/>
      <c r="D571" s="15"/>
      <c r="E571" s="15"/>
      <c r="F571" s="15"/>
    </row>
    <row r="572" spans="3:6" s="3" customFormat="1" ht="14.25">
      <c r="C572" s="15"/>
      <c r="D572" s="15"/>
      <c r="E572" s="15"/>
      <c r="F572" s="15"/>
    </row>
    <row r="573" spans="3:6" s="3" customFormat="1" ht="14.25">
      <c r="C573" s="15"/>
      <c r="D573" s="15"/>
      <c r="E573" s="15"/>
      <c r="F573" s="15"/>
    </row>
    <row r="574" spans="3:6" s="3" customFormat="1" ht="14.25">
      <c r="C574" s="15"/>
      <c r="D574" s="15"/>
      <c r="E574" s="15"/>
      <c r="F574" s="15"/>
    </row>
    <row r="575" spans="3:6" s="3" customFormat="1" ht="14.25">
      <c r="C575" s="15"/>
      <c r="D575" s="15"/>
      <c r="E575" s="15"/>
      <c r="F575" s="15"/>
    </row>
    <row r="576" spans="3:6" s="3" customFormat="1" ht="14.25">
      <c r="C576" s="15"/>
      <c r="D576" s="15"/>
      <c r="E576" s="15"/>
      <c r="F576" s="15"/>
    </row>
    <row r="577" spans="3:6" s="3" customFormat="1" ht="14.25">
      <c r="C577" s="15"/>
      <c r="D577" s="15"/>
      <c r="E577" s="15"/>
      <c r="F577" s="15"/>
    </row>
    <row r="578" spans="3:6" s="3" customFormat="1" ht="14.25">
      <c r="C578" s="15"/>
      <c r="D578" s="15"/>
      <c r="E578" s="15"/>
      <c r="F578" s="15"/>
    </row>
    <row r="579" spans="3:6" s="3" customFormat="1" ht="14.25">
      <c r="C579" s="15"/>
      <c r="D579" s="15"/>
      <c r="E579" s="15"/>
      <c r="F579" s="15"/>
    </row>
    <row r="580" spans="3:6" s="3" customFormat="1" ht="14.25">
      <c r="C580" s="15"/>
      <c r="D580" s="15"/>
      <c r="E580" s="15"/>
      <c r="F580" s="15"/>
    </row>
    <row r="581" spans="3:6" s="3" customFormat="1" ht="14.25">
      <c r="C581" s="15"/>
      <c r="D581" s="15"/>
      <c r="E581" s="15"/>
      <c r="F581" s="15"/>
    </row>
    <row r="582" spans="3:6" s="3" customFormat="1" ht="14.25">
      <c r="C582" s="15"/>
      <c r="D582" s="15"/>
      <c r="E582" s="15"/>
      <c r="F582" s="15"/>
    </row>
    <row r="583" spans="3:6" s="3" customFormat="1" ht="14.25">
      <c r="C583" s="15"/>
      <c r="D583" s="15"/>
      <c r="E583" s="15"/>
      <c r="F583" s="15"/>
    </row>
    <row r="584" spans="3:6" s="3" customFormat="1" ht="14.25">
      <c r="C584" s="15"/>
      <c r="D584" s="15"/>
      <c r="E584" s="15"/>
      <c r="F584" s="15"/>
    </row>
    <row r="585" spans="3:6" s="3" customFormat="1" ht="14.25">
      <c r="C585" s="15"/>
      <c r="D585" s="15"/>
      <c r="E585" s="15"/>
      <c r="F585" s="15"/>
    </row>
    <row r="586" spans="3:6" s="3" customFormat="1" ht="14.25">
      <c r="C586" s="15"/>
      <c r="D586" s="15"/>
      <c r="E586" s="15"/>
      <c r="F586" s="15"/>
    </row>
    <row r="587" spans="3:6" s="3" customFormat="1" ht="14.25">
      <c r="C587" s="15"/>
      <c r="D587" s="15"/>
      <c r="E587" s="15"/>
      <c r="F587" s="15"/>
    </row>
    <row r="588" spans="3:6" s="3" customFormat="1" ht="14.25">
      <c r="C588" s="15"/>
      <c r="D588" s="15"/>
      <c r="E588" s="15"/>
      <c r="F588" s="15"/>
    </row>
    <row r="589" spans="3:6" s="3" customFormat="1" ht="14.25">
      <c r="C589" s="15"/>
      <c r="D589" s="15"/>
      <c r="E589" s="15"/>
      <c r="F589" s="15"/>
    </row>
    <row r="590" spans="3:6" s="3" customFormat="1" ht="14.25">
      <c r="C590" s="15"/>
      <c r="D590" s="15"/>
      <c r="E590" s="15"/>
      <c r="F590" s="15"/>
    </row>
    <row r="591" spans="3:6" s="3" customFormat="1" ht="14.25">
      <c r="C591" s="15"/>
      <c r="D591" s="15"/>
      <c r="E591" s="15"/>
      <c r="F591" s="15"/>
    </row>
    <row r="592" spans="3:6" s="3" customFormat="1" ht="14.25">
      <c r="C592" s="15"/>
      <c r="D592" s="15"/>
      <c r="E592" s="15"/>
      <c r="F592" s="15"/>
    </row>
    <row r="593" spans="3:6" s="3" customFormat="1" ht="14.25">
      <c r="C593" s="15"/>
      <c r="D593" s="15"/>
      <c r="E593" s="15"/>
      <c r="F593" s="15"/>
    </row>
    <row r="594" spans="3:6" s="3" customFormat="1" ht="14.25">
      <c r="C594" s="15"/>
      <c r="D594" s="15"/>
      <c r="E594" s="15"/>
      <c r="F594" s="15"/>
    </row>
    <row r="595" spans="3:6" s="3" customFormat="1" ht="14.25">
      <c r="C595" s="15"/>
      <c r="D595" s="15"/>
      <c r="E595" s="15"/>
      <c r="F595" s="15"/>
    </row>
    <row r="596" spans="3:6" s="3" customFormat="1" ht="14.25">
      <c r="C596" s="15"/>
      <c r="D596" s="15"/>
      <c r="E596" s="15"/>
      <c r="F596" s="15"/>
    </row>
    <row r="597" spans="3:6" s="3" customFormat="1" ht="14.25">
      <c r="C597" s="15"/>
      <c r="D597" s="15"/>
      <c r="E597" s="15"/>
      <c r="F597" s="15"/>
    </row>
    <row r="598" spans="3:6" s="3" customFormat="1" ht="14.25">
      <c r="C598" s="15"/>
      <c r="D598" s="15"/>
      <c r="E598" s="15"/>
      <c r="F598" s="15"/>
    </row>
    <row r="599" spans="3:6" s="3" customFormat="1" ht="14.25">
      <c r="C599" s="15"/>
      <c r="D599" s="15"/>
      <c r="E599" s="15"/>
      <c r="F599" s="15"/>
    </row>
    <row r="600" spans="3:6" s="3" customFormat="1" ht="14.25">
      <c r="C600" s="15"/>
      <c r="D600" s="15"/>
      <c r="E600" s="15"/>
      <c r="F600" s="15"/>
    </row>
    <row r="601" spans="3:6" s="3" customFormat="1" ht="14.25">
      <c r="C601" s="15"/>
      <c r="D601" s="15"/>
      <c r="E601" s="15"/>
      <c r="F601" s="15"/>
    </row>
    <row r="602" spans="3:6" s="3" customFormat="1" ht="14.25">
      <c r="C602" s="15"/>
      <c r="D602" s="15"/>
      <c r="E602" s="15"/>
      <c r="F602" s="15"/>
    </row>
    <row r="603" spans="3:6" s="3" customFormat="1" ht="14.25">
      <c r="C603" s="15"/>
      <c r="D603" s="15"/>
      <c r="E603" s="15"/>
      <c r="F603" s="15"/>
    </row>
    <row r="604" spans="3:6" s="3" customFormat="1" ht="14.25">
      <c r="C604" s="15"/>
      <c r="D604" s="15"/>
      <c r="E604" s="15"/>
      <c r="F604" s="15"/>
    </row>
    <row r="605" spans="3:6" s="3" customFormat="1" ht="14.25">
      <c r="C605" s="15"/>
      <c r="D605" s="15"/>
      <c r="E605" s="15"/>
      <c r="F605" s="15"/>
    </row>
    <row r="606" spans="3:6" s="3" customFormat="1" ht="14.25">
      <c r="C606" s="15"/>
      <c r="D606" s="15"/>
      <c r="E606" s="15"/>
      <c r="F606" s="15"/>
    </row>
    <row r="607" spans="3:6" s="3" customFormat="1" ht="14.25">
      <c r="C607" s="15"/>
      <c r="D607" s="15"/>
      <c r="E607" s="15"/>
      <c r="F607" s="15"/>
    </row>
    <row r="608" spans="3:6" s="3" customFormat="1" ht="14.25">
      <c r="C608" s="15"/>
      <c r="D608" s="15"/>
      <c r="E608" s="15"/>
      <c r="F608" s="15"/>
    </row>
    <row r="609" spans="3:6" s="3" customFormat="1" ht="14.25">
      <c r="C609" s="15"/>
      <c r="D609" s="15"/>
      <c r="E609" s="15"/>
      <c r="F609" s="15"/>
    </row>
    <row r="610" spans="3:6" s="3" customFormat="1" ht="14.25">
      <c r="C610" s="15"/>
      <c r="D610" s="15"/>
      <c r="E610" s="15"/>
      <c r="F610" s="15"/>
    </row>
    <row r="611" spans="3:6" s="3" customFormat="1" ht="14.25">
      <c r="C611" s="15"/>
      <c r="D611" s="15"/>
      <c r="E611" s="15"/>
      <c r="F611" s="15"/>
    </row>
    <row r="612" spans="3:6" s="3" customFormat="1" ht="14.25">
      <c r="C612" s="15"/>
      <c r="D612" s="15"/>
      <c r="E612" s="15"/>
      <c r="F612" s="15"/>
    </row>
    <row r="613" spans="3:6" s="3" customFormat="1" ht="14.25">
      <c r="C613" s="15"/>
      <c r="D613" s="15"/>
      <c r="E613" s="15"/>
      <c r="F613" s="15"/>
    </row>
    <row r="614" spans="3:6" s="3" customFormat="1" ht="14.25">
      <c r="C614" s="15"/>
      <c r="D614" s="15"/>
      <c r="E614" s="15"/>
      <c r="F614" s="15"/>
    </row>
    <row r="615" spans="3:6" s="3" customFormat="1" ht="14.25">
      <c r="C615" s="15"/>
      <c r="D615" s="15"/>
      <c r="E615" s="15"/>
      <c r="F615" s="15"/>
    </row>
    <row r="616" spans="3:6" s="3" customFormat="1" ht="14.25">
      <c r="C616" s="15"/>
      <c r="D616" s="15"/>
      <c r="E616" s="15"/>
      <c r="F616" s="15"/>
    </row>
    <row r="617" spans="3:6" s="3" customFormat="1" ht="14.25">
      <c r="C617" s="15"/>
      <c r="D617" s="15"/>
      <c r="E617" s="15"/>
      <c r="F617" s="15"/>
    </row>
    <row r="618" spans="3:6" s="3" customFormat="1" ht="14.25">
      <c r="C618" s="15"/>
      <c r="D618" s="15"/>
      <c r="E618" s="15"/>
      <c r="F618" s="15"/>
    </row>
    <row r="619" spans="3:6" s="3" customFormat="1" ht="14.25">
      <c r="C619" s="15"/>
      <c r="D619" s="15"/>
      <c r="E619" s="15"/>
      <c r="F619" s="15"/>
    </row>
    <row r="620" spans="3:6" s="3" customFormat="1" ht="14.25">
      <c r="C620" s="15"/>
      <c r="D620" s="15"/>
      <c r="E620" s="15"/>
      <c r="F620" s="15"/>
    </row>
    <row r="621" spans="3:6" s="3" customFormat="1" ht="14.25">
      <c r="C621" s="15"/>
      <c r="D621" s="15"/>
      <c r="E621" s="15"/>
      <c r="F621" s="15"/>
    </row>
    <row r="622" spans="3:6" s="3" customFormat="1" ht="14.25">
      <c r="C622" s="15"/>
      <c r="D622" s="15"/>
      <c r="E622" s="15"/>
      <c r="F622" s="15"/>
    </row>
    <row r="623" spans="3:6" s="3" customFormat="1" ht="14.25">
      <c r="C623" s="15"/>
      <c r="D623" s="15"/>
      <c r="E623" s="15"/>
      <c r="F623" s="15"/>
    </row>
    <row r="624" spans="3:6" s="3" customFormat="1" ht="14.25">
      <c r="C624" s="15"/>
      <c r="D624" s="15"/>
      <c r="E624" s="15"/>
      <c r="F624" s="15"/>
    </row>
    <row r="625" spans="3:6" s="3" customFormat="1" ht="14.25">
      <c r="C625" s="15"/>
      <c r="D625" s="15"/>
      <c r="E625" s="15"/>
      <c r="F625" s="15"/>
    </row>
    <row r="626" spans="3:6" s="3" customFormat="1" ht="14.25">
      <c r="C626" s="15"/>
      <c r="D626" s="15"/>
      <c r="E626" s="15"/>
      <c r="F626" s="15"/>
    </row>
    <row r="627" spans="3:6" s="3" customFormat="1" ht="14.25">
      <c r="C627" s="15"/>
      <c r="D627" s="15"/>
      <c r="E627" s="15"/>
      <c r="F627" s="15"/>
    </row>
    <row r="628" spans="3:6" s="3" customFormat="1" ht="14.25">
      <c r="C628" s="15"/>
      <c r="D628" s="15"/>
      <c r="E628" s="15"/>
      <c r="F628" s="15"/>
    </row>
    <row r="629" spans="3:6" s="3" customFormat="1" ht="14.25">
      <c r="C629" s="15"/>
      <c r="D629" s="15"/>
      <c r="E629" s="15"/>
      <c r="F629" s="15"/>
    </row>
    <row r="630" spans="3:6" s="3" customFormat="1" ht="14.25">
      <c r="C630" s="15"/>
      <c r="D630" s="15"/>
      <c r="E630" s="15"/>
      <c r="F630" s="15"/>
    </row>
    <row r="631" spans="3:6" s="3" customFormat="1" ht="14.25">
      <c r="C631" s="15"/>
      <c r="D631" s="15"/>
      <c r="E631" s="15"/>
      <c r="F631" s="15"/>
    </row>
    <row r="632" spans="3:6" s="3" customFormat="1" ht="14.25">
      <c r="C632" s="15"/>
      <c r="D632" s="15"/>
      <c r="E632" s="15"/>
      <c r="F632" s="15"/>
    </row>
    <row r="633" spans="3:6" s="3" customFormat="1" ht="14.25">
      <c r="C633" s="15"/>
      <c r="D633" s="15"/>
      <c r="E633" s="15"/>
      <c r="F633" s="15"/>
    </row>
    <row r="634" spans="3:6" s="3" customFormat="1" ht="14.25">
      <c r="C634" s="15"/>
      <c r="D634" s="15"/>
      <c r="E634" s="15"/>
      <c r="F634" s="15"/>
    </row>
    <row r="635" spans="3:6" s="3" customFormat="1" ht="14.25">
      <c r="C635" s="15"/>
      <c r="D635" s="15"/>
      <c r="E635" s="15"/>
      <c r="F635" s="15"/>
    </row>
    <row r="636" spans="3:6" s="3" customFormat="1" ht="14.25">
      <c r="C636" s="15"/>
      <c r="D636" s="15"/>
      <c r="E636" s="15"/>
      <c r="F636" s="15"/>
    </row>
    <row r="637" spans="3:6" s="3" customFormat="1" ht="14.25">
      <c r="C637" s="15"/>
      <c r="D637" s="15"/>
      <c r="E637" s="15"/>
      <c r="F637" s="15"/>
    </row>
    <row r="638" spans="3:6" s="3" customFormat="1" ht="14.25">
      <c r="C638" s="15"/>
      <c r="D638" s="15"/>
      <c r="E638" s="15"/>
      <c r="F638" s="15"/>
    </row>
    <row r="639" spans="3:6" s="3" customFormat="1" ht="14.25">
      <c r="C639" s="15"/>
      <c r="D639" s="15"/>
      <c r="E639" s="15"/>
      <c r="F639" s="15"/>
    </row>
    <row r="640" spans="3:6" s="3" customFormat="1" ht="14.25">
      <c r="C640" s="15"/>
      <c r="D640" s="15"/>
      <c r="E640" s="15"/>
      <c r="F640" s="15"/>
    </row>
    <row r="641" spans="3:6" s="3" customFormat="1" ht="14.25">
      <c r="C641" s="15"/>
      <c r="D641" s="15"/>
      <c r="E641" s="15"/>
      <c r="F641" s="15"/>
    </row>
    <row r="642" spans="3:6" s="3" customFormat="1" ht="14.25">
      <c r="C642" s="15"/>
      <c r="D642" s="15"/>
      <c r="E642" s="15"/>
      <c r="F642" s="15"/>
    </row>
    <row r="643" spans="3:6" s="3" customFormat="1" ht="14.25">
      <c r="C643" s="15"/>
      <c r="D643" s="15"/>
      <c r="E643" s="15"/>
      <c r="F643" s="15"/>
    </row>
    <row r="644" spans="3:6" s="3" customFormat="1" ht="14.25">
      <c r="C644" s="15"/>
      <c r="D644" s="15"/>
      <c r="E644" s="15"/>
      <c r="F644" s="15"/>
    </row>
    <row r="645" spans="3:6" s="3" customFormat="1" ht="14.25">
      <c r="C645" s="15"/>
      <c r="D645" s="15"/>
      <c r="E645" s="15"/>
      <c r="F645" s="15"/>
    </row>
    <row r="646" spans="3:6" s="3" customFormat="1" ht="14.25">
      <c r="C646" s="15"/>
      <c r="D646" s="15"/>
      <c r="E646" s="15"/>
      <c r="F646" s="15"/>
    </row>
    <row r="647" spans="3:6" s="3" customFormat="1" ht="14.25">
      <c r="C647" s="15"/>
      <c r="D647" s="15"/>
      <c r="E647" s="15"/>
      <c r="F647" s="15"/>
    </row>
    <row r="648" spans="3:6" s="3" customFormat="1" ht="14.25">
      <c r="C648" s="15"/>
      <c r="D648" s="15"/>
      <c r="E648" s="15"/>
      <c r="F648" s="15"/>
    </row>
    <row r="649" spans="3:6" s="3" customFormat="1" ht="14.25">
      <c r="C649" s="15"/>
      <c r="D649" s="15"/>
      <c r="E649" s="15"/>
      <c r="F649" s="15"/>
    </row>
    <row r="650" spans="3:6" s="3" customFormat="1" ht="14.25">
      <c r="C650" s="15"/>
      <c r="D650" s="15"/>
      <c r="E650" s="15"/>
      <c r="F650" s="15"/>
    </row>
    <row r="651" spans="3:6" s="3" customFormat="1" ht="14.25">
      <c r="C651" s="15"/>
      <c r="D651" s="15"/>
      <c r="E651" s="15"/>
      <c r="F651" s="15"/>
    </row>
    <row r="652" spans="3:6" s="3" customFormat="1" ht="14.25">
      <c r="C652" s="15"/>
      <c r="D652" s="15"/>
      <c r="E652" s="15"/>
      <c r="F652" s="15"/>
    </row>
    <row r="653" spans="3:6" s="3" customFormat="1" ht="14.25">
      <c r="C653" s="15"/>
      <c r="D653" s="15"/>
      <c r="E653" s="15"/>
      <c r="F653" s="15"/>
    </row>
    <row r="654" spans="3:6" s="3" customFormat="1" ht="14.25">
      <c r="C654" s="15"/>
      <c r="D654" s="15"/>
      <c r="E654" s="15"/>
      <c r="F654" s="15"/>
    </row>
    <row r="655" spans="3:6" s="3" customFormat="1" ht="14.25">
      <c r="C655" s="15"/>
      <c r="D655" s="15"/>
      <c r="E655" s="15"/>
      <c r="F655" s="15"/>
    </row>
    <row r="656" spans="3:6" s="3" customFormat="1" ht="14.25">
      <c r="C656" s="15"/>
      <c r="D656" s="15"/>
      <c r="E656" s="15"/>
      <c r="F656" s="15"/>
    </row>
    <row r="657" spans="3:6" s="3" customFormat="1" ht="14.25">
      <c r="C657" s="15"/>
      <c r="D657" s="15"/>
      <c r="E657" s="15"/>
      <c r="F657" s="15"/>
    </row>
    <row r="658" spans="3:6" s="3" customFormat="1" ht="14.25">
      <c r="C658" s="15"/>
      <c r="D658" s="15"/>
      <c r="E658" s="15"/>
      <c r="F658" s="15"/>
    </row>
    <row r="659" spans="3:6" s="3" customFormat="1" ht="14.25">
      <c r="C659" s="15"/>
      <c r="D659" s="15"/>
      <c r="E659" s="15"/>
      <c r="F659" s="15"/>
    </row>
    <row r="660" spans="3:6" s="3" customFormat="1" ht="14.25">
      <c r="C660" s="15"/>
      <c r="D660" s="15"/>
      <c r="E660" s="15"/>
      <c r="F660" s="15"/>
    </row>
    <row r="661" spans="3:6" s="3" customFormat="1" ht="14.25">
      <c r="C661" s="15"/>
      <c r="D661" s="15"/>
      <c r="E661" s="15"/>
      <c r="F661" s="15"/>
    </row>
    <row r="662" spans="3:6" s="3" customFormat="1" ht="14.25">
      <c r="C662" s="15"/>
      <c r="D662" s="15"/>
      <c r="E662" s="15"/>
      <c r="F662" s="15"/>
    </row>
    <row r="663" spans="3:6" s="3" customFormat="1" ht="14.25">
      <c r="C663" s="15"/>
      <c r="D663" s="15"/>
      <c r="E663" s="15"/>
      <c r="F663" s="15"/>
    </row>
    <row r="664" spans="3:6" s="3" customFormat="1" ht="14.25">
      <c r="C664" s="15"/>
      <c r="D664" s="15"/>
      <c r="E664" s="15"/>
      <c r="F664" s="15"/>
    </row>
    <row r="665" spans="3:6" s="3" customFormat="1" ht="14.25">
      <c r="C665" s="15"/>
      <c r="D665" s="15"/>
      <c r="E665" s="15"/>
      <c r="F665" s="15"/>
    </row>
    <row r="666" spans="3:6" s="3" customFormat="1" ht="14.25">
      <c r="C666" s="15"/>
      <c r="D666" s="15"/>
      <c r="E666" s="15"/>
      <c r="F666" s="15"/>
    </row>
    <row r="667" spans="3:6" s="3" customFormat="1" ht="14.25">
      <c r="C667" s="15"/>
      <c r="D667" s="15"/>
      <c r="E667" s="15"/>
      <c r="F667" s="15"/>
    </row>
    <row r="668" spans="3:6" s="3" customFormat="1" ht="14.25">
      <c r="C668" s="15"/>
      <c r="D668" s="15"/>
      <c r="E668" s="15"/>
      <c r="F668" s="15"/>
    </row>
    <row r="669" spans="3:6" s="3" customFormat="1" ht="14.25">
      <c r="C669" s="15"/>
      <c r="D669" s="15"/>
      <c r="E669" s="15"/>
      <c r="F669" s="15"/>
    </row>
    <row r="670" spans="3:6" s="3" customFormat="1" ht="14.25">
      <c r="C670" s="15"/>
      <c r="D670" s="15"/>
      <c r="E670" s="15"/>
      <c r="F670" s="15"/>
    </row>
    <row r="671" spans="3:6" s="3" customFormat="1" ht="14.25">
      <c r="C671" s="15"/>
      <c r="D671" s="15"/>
      <c r="E671" s="15"/>
      <c r="F671" s="15"/>
    </row>
    <row r="672" spans="3:6" s="3" customFormat="1" ht="14.25">
      <c r="C672" s="15"/>
      <c r="D672" s="15"/>
      <c r="E672" s="15"/>
      <c r="F672" s="15"/>
    </row>
    <row r="673" spans="3:6" s="3" customFormat="1" ht="14.25">
      <c r="C673" s="15"/>
      <c r="D673" s="15"/>
      <c r="E673" s="15"/>
      <c r="F673" s="15"/>
    </row>
    <row r="674" spans="3:6" s="3" customFormat="1" ht="14.25">
      <c r="C674" s="15"/>
      <c r="D674" s="15"/>
      <c r="E674" s="15"/>
      <c r="F674" s="15"/>
    </row>
    <row r="675" spans="3:6" s="3" customFormat="1" ht="14.25">
      <c r="C675" s="15"/>
      <c r="D675" s="15"/>
      <c r="E675" s="15"/>
      <c r="F675" s="15"/>
    </row>
    <row r="676" spans="3:6" s="3" customFormat="1" ht="14.25">
      <c r="C676" s="15"/>
      <c r="D676" s="15"/>
      <c r="E676" s="15"/>
      <c r="F676" s="15"/>
    </row>
    <row r="677" spans="3:6" s="3" customFormat="1" ht="14.25">
      <c r="C677" s="15"/>
      <c r="D677" s="15"/>
      <c r="E677" s="15"/>
      <c r="F677" s="15"/>
    </row>
    <row r="678" spans="3:6" s="3" customFormat="1" ht="14.25">
      <c r="C678" s="15"/>
      <c r="D678" s="15"/>
      <c r="E678" s="15"/>
      <c r="F678" s="15"/>
    </row>
    <row r="679" spans="3:6" s="3" customFormat="1" ht="14.25">
      <c r="C679" s="15"/>
      <c r="D679" s="15"/>
      <c r="E679" s="15"/>
      <c r="F679" s="15"/>
    </row>
    <row r="680" spans="3:6" s="3" customFormat="1" ht="14.25">
      <c r="C680" s="15"/>
      <c r="D680" s="15"/>
      <c r="E680" s="15"/>
      <c r="F680" s="15"/>
    </row>
    <row r="681" spans="3:6" s="3" customFormat="1" ht="14.25">
      <c r="C681" s="15"/>
      <c r="D681" s="15"/>
      <c r="E681" s="15"/>
      <c r="F681" s="15"/>
    </row>
    <row r="682" spans="3:6" s="3" customFormat="1" ht="14.25">
      <c r="C682" s="15"/>
      <c r="D682" s="15"/>
      <c r="E682" s="15"/>
      <c r="F682" s="15"/>
    </row>
    <row r="683" spans="3:6" s="3" customFormat="1" ht="14.25">
      <c r="C683" s="15"/>
      <c r="D683" s="15"/>
      <c r="E683" s="15"/>
      <c r="F683" s="15"/>
    </row>
    <row r="684" spans="3:6" s="3" customFormat="1" ht="14.25">
      <c r="C684" s="15"/>
      <c r="D684" s="15"/>
      <c r="E684" s="15"/>
      <c r="F684" s="15"/>
    </row>
    <row r="685" spans="3:6" s="3" customFormat="1" ht="14.25">
      <c r="C685" s="15"/>
      <c r="D685" s="15"/>
      <c r="E685" s="15"/>
      <c r="F685" s="15"/>
    </row>
    <row r="686" spans="3:6" s="3" customFormat="1" ht="14.25">
      <c r="C686" s="15"/>
      <c r="D686" s="15"/>
      <c r="E686" s="15"/>
      <c r="F686" s="15"/>
    </row>
    <row r="687" spans="3:6" s="3" customFormat="1" ht="14.25">
      <c r="C687" s="15"/>
      <c r="D687" s="15"/>
      <c r="E687" s="15"/>
      <c r="F687" s="15"/>
    </row>
    <row r="688" spans="3:6" s="3" customFormat="1" ht="14.25">
      <c r="C688" s="15"/>
      <c r="D688" s="15"/>
      <c r="E688" s="15"/>
      <c r="F688" s="15"/>
    </row>
    <row r="689" spans="3:6" s="3" customFormat="1" ht="14.25">
      <c r="C689" s="15"/>
      <c r="D689" s="15"/>
      <c r="E689" s="15"/>
      <c r="F689" s="15"/>
    </row>
    <row r="690" spans="3:6" s="3" customFormat="1" ht="14.25">
      <c r="C690" s="15"/>
      <c r="D690" s="15"/>
      <c r="E690" s="15"/>
      <c r="F690" s="15"/>
    </row>
    <row r="691" spans="3:6" s="3" customFormat="1" ht="14.25">
      <c r="C691" s="15"/>
      <c r="D691" s="15"/>
      <c r="E691" s="15"/>
      <c r="F691" s="15"/>
    </row>
    <row r="692" spans="3:6" s="3" customFormat="1" ht="14.25">
      <c r="C692" s="15"/>
      <c r="D692" s="15"/>
      <c r="E692" s="15"/>
      <c r="F692" s="15"/>
    </row>
    <row r="693" spans="3:6" s="3" customFormat="1" ht="14.25">
      <c r="C693" s="15"/>
      <c r="D693" s="15"/>
      <c r="E693" s="15"/>
      <c r="F693" s="15"/>
    </row>
    <row r="694" spans="3:6" s="3" customFormat="1" ht="14.25">
      <c r="C694" s="15"/>
      <c r="D694" s="15"/>
      <c r="E694" s="15"/>
      <c r="F694" s="15"/>
    </row>
    <row r="695" spans="3:6" s="3" customFormat="1" ht="14.25">
      <c r="C695" s="15"/>
      <c r="D695" s="15"/>
      <c r="E695" s="15"/>
      <c r="F695" s="15"/>
    </row>
    <row r="696" spans="3:6" s="3" customFormat="1" ht="14.25">
      <c r="C696" s="15"/>
      <c r="D696" s="15"/>
      <c r="E696" s="15"/>
      <c r="F696" s="15"/>
    </row>
    <row r="697" spans="3:6" s="3" customFormat="1" ht="14.25">
      <c r="C697" s="15"/>
      <c r="D697" s="15"/>
      <c r="E697" s="15"/>
      <c r="F697" s="15"/>
    </row>
    <row r="698" spans="3:6" s="3" customFormat="1" ht="14.25">
      <c r="C698" s="15"/>
      <c r="D698" s="15"/>
      <c r="E698" s="15"/>
      <c r="F698" s="15"/>
    </row>
    <row r="699" spans="3:6" s="3" customFormat="1" ht="14.25">
      <c r="C699" s="15"/>
      <c r="D699" s="15"/>
      <c r="E699" s="15"/>
      <c r="F699" s="15"/>
    </row>
    <row r="700" spans="3:6" s="3" customFormat="1" ht="14.25">
      <c r="C700" s="15"/>
      <c r="D700" s="15"/>
      <c r="E700" s="15"/>
      <c r="F700" s="15"/>
    </row>
    <row r="701" spans="3:6" s="3" customFormat="1" ht="14.25">
      <c r="C701" s="15"/>
      <c r="D701" s="15"/>
      <c r="E701" s="15"/>
      <c r="F701" s="15"/>
    </row>
    <row r="702" spans="3:6" s="3" customFormat="1" ht="14.25">
      <c r="C702" s="15"/>
      <c r="D702" s="15"/>
      <c r="E702" s="15"/>
      <c r="F702" s="15"/>
    </row>
    <row r="703" spans="3:6" s="3" customFormat="1" ht="14.25">
      <c r="C703" s="15"/>
      <c r="D703" s="15"/>
      <c r="E703" s="15"/>
      <c r="F703" s="15"/>
    </row>
    <row r="704" spans="3:6" s="3" customFormat="1" ht="14.25">
      <c r="C704" s="15"/>
      <c r="D704" s="15"/>
      <c r="E704" s="15"/>
      <c r="F704" s="15"/>
    </row>
    <row r="705" spans="3:6" s="3" customFormat="1" ht="14.25">
      <c r="C705" s="15"/>
      <c r="D705" s="15"/>
      <c r="E705" s="15"/>
      <c r="F705" s="15"/>
    </row>
    <row r="706" spans="3:6" s="3" customFormat="1" ht="14.25">
      <c r="C706" s="15"/>
      <c r="D706" s="15"/>
      <c r="E706" s="15"/>
      <c r="F706" s="15"/>
    </row>
    <row r="707" spans="3:6" s="3" customFormat="1" ht="14.25">
      <c r="C707" s="15"/>
      <c r="D707" s="15"/>
      <c r="E707" s="15"/>
      <c r="F707" s="15"/>
    </row>
    <row r="708" spans="3:6" s="3" customFormat="1" ht="14.25">
      <c r="C708" s="15"/>
      <c r="D708" s="15"/>
      <c r="E708" s="15"/>
      <c r="F708" s="15"/>
    </row>
    <row r="709" spans="3:6" s="3" customFormat="1" ht="14.25">
      <c r="C709" s="15"/>
      <c r="D709" s="15"/>
      <c r="E709" s="15"/>
      <c r="F709" s="15"/>
    </row>
    <row r="710" spans="3:6" s="3" customFormat="1" ht="14.25">
      <c r="C710" s="15"/>
      <c r="D710" s="15"/>
      <c r="E710" s="15"/>
      <c r="F710" s="15"/>
    </row>
    <row r="711" spans="3:6" s="3" customFormat="1" ht="14.25">
      <c r="C711" s="15"/>
      <c r="D711" s="15"/>
      <c r="E711" s="15"/>
      <c r="F711" s="15"/>
    </row>
    <row r="712" spans="3:6" s="3" customFormat="1" ht="14.25">
      <c r="C712" s="15"/>
      <c r="D712" s="15"/>
      <c r="E712" s="15"/>
      <c r="F712" s="15"/>
    </row>
    <row r="713" spans="3:6" s="3" customFormat="1" ht="14.25">
      <c r="C713" s="15"/>
      <c r="D713" s="15"/>
      <c r="E713" s="15"/>
      <c r="F713" s="15"/>
    </row>
    <row r="714" spans="3:6" s="3" customFormat="1" ht="14.25">
      <c r="C714" s="15"/>
      <c r="D714" s="15"/>
      <c r="E714" s="15"/>
      <c r="F714" s="15"/>
    </row>
    <row r="715" spans="3:6" s="3" customFormat="1" ht="14.25">
      <c r="C715" s="15"/>
      <c r="D715" s="15"/>
      <c r="E715" s="15"/>
      <c r="F715" s="15"/>
    </row>
    <row r="716" spans="3:6" s="3" customFormat="1" ht="14.25">
      <c r="C716" s="15"/>
      <c r="D716" s="15"/>
      <c r="E716" s="15"/>
      <c r="F716" s="15"/>
    </row>
    <row r="717" spans="3:6" s="3" customFormat="1" ht="14.25">
      <c r="C717" s="15"/>
      <c r="D717" s="15"/>
      <c r="E717" s="15"/>
      <c r="F717" s="15"/>
    </row>
    <row r="718" spans="3:6" s="3" customFormat="1" ht="14.25">
      <c r="C718" s="15"/>
      <c r="D718" s="15"/>
      <c r="E718" s="15"/>
      <c r="F718" s="15"/>
    </row>
    <row r="719" spans="3:6" s="3" customFormat="1" ht="14.25">
      <c r="C719" s="15"/>
      <c r="D719" s="15"/>
      <c r="E719" s="15"/>
      <c r="F719" s="15"/>
    </row>
    <row r="720" spans="3:6" s="3" customFormat="1" ht="14.25">
      <c r="C720" s="15"/>
      <c r="D720" s="15"/>
      <c r="E720" s="15"/>
      <c r="F720" s="15"/>
    </row>
    <row r="721" spans="3:6" s="3" customFormat="1" ht="14.25">
      <c r="C721" s="15"/>
      <c r="D721" s="15"/>
      <c r="E721" s="15"/>
      <c r="F721" s="15"/>
    </row>
    <row r="722" spans="3:6" s="3" customFormat="1" ht="14.25">
      <c r="C722" s="15"/>
      <c r="D722" s="15"/>
      <c r="E722" s="15"/>
      <c r="F722" s="15"/>
    </row>
    <row r="723" spans="3:6" s="3" customFormat="1" ht="14.25">
      <c r="C723" s="15"/>
      <c r="D723" s="15"/>
      <c r="E723" s="15"/>
      <c r="F723" s="15"/>
    </row>
    <row r="724" spans="3:6" s="3" customFormat="1" ht="14.25">
      <c r="C724" s="15"/>
      <c r="D724" s="15"/>
      <c r="E724" s="15"/>
      <c r="F724" s="15"/>
    </row>
    <row r="725" spans="3:6" s="3" customFormat="1" ht="14.25">
      <c r="C725" s="15"/>
      <c r="D725" s="15"/>
      <c r="E725" s="15"/>
      <c r="F725" s="15"/>
    </row>
    <row r="726" spans="3:6" s="3" customFormat="1" ht="14.25">
      <c r="C726" s="15"/>
      <c r="D726" s="15"/>
      <c r="E726" s="15"/>
      <c r="F726" s="15"/>
    </row>
    <row r="727" spans="3:6" s="3" customFormat="1" ht="14.25">
      <c r="C727" s="15"/>
      <c r="D727" s="15"/>
      <c r="E727" s="15"/>
      <c r="F727" s="15"/>
    </row>
    <row r="728" spans="3:6" s="3" customFormat="1" ht="14.25">
      <c r="C728" s="15"/>
      <c r="D728" s="15"/>
      <c r="E728" s="15"/>
      <c r="F728" s="15"/>
    </row>
    <row r="729" spans="3:6" s="3" customFormat="1" ht="14.25">
      <c r="C729" s="15"/>
      <c r="D729" s="15"/>
      <c r="E729" s="15"/>
      <c r="F729" s="15"/>
    </row>
    <row r="730" spans="3:6" s="3" customFormat="1" ht="14.25">
      <c r="C730" s="15"/>
      <c r="D730" s="15"/>
      <c r="E730" s="15"/>
      <c r="F730" s="15"/>
    </row>
    <row r="731" spans="3:6" s="3" customFormat="1" ht="14.25">
      <c r="C731" s="15"/>
      <c r="D731" s="15"/>
      <c r="E731" s="15"/>
      <c r="F731" s="15"/>
    </row>
    <row r="732" spans="3:6" s="3" customFormat="1" ht="14.25">
      <c r="C732" s="15"/>
      <c r="D732" s="15"/>
      <c r="E732" s="15"/>
      <c r="F732" s="15"/>
    </row>
    <row r="733" spans="3:6" s="3" customFormat="1" ht="14.25">
      <c r="C733" s="15"/>
      <c r="D733" s="15"/>
      <c r="E733" s="15"/>
      <c r="F733" s="15"/>
    </row>
    <row r="734" spans="3:6" s="3" customFormat="1" ht="14.25">
      <c r="C734" s="15"/>
      <c r="D734" s="15"/>
      <c r="E734" s="15"/>
      <c r="F734" s="15"/>
    </row>
    <row r="735" spans="3:6" s="3" customFormat="1" ht="14.25">
      <c r="C735" s="15"/>
      <c r="D735" s="15"/>
      <c r="E735" s="15"/>
      <c r="F735" s="15"/>
    </row>
    <row r="736" spans="3:6" s="3" customFormat="1" ht="14.25">
      <c r="C736" s="15"/>
      <c r="D736" s="15"/>
      <c r="E736" s="15"/>
      <c r="F736" s="15"/>
    </row>
    <row r="737" spans="3:6" s="3" customFormat="1" ht="14.25">
      <c r="C737" s="15"/>
      <c r="D737" s="15"/>
      <c r="E737" s="15"/>
      <c r="F737" s="15"/>
    </row>
    <row r="738" spans="3:6" s="3" customFormat="1" ht="14.25">
      <c r="C738" s="15"/>
      <c r="D738" s="15"/>
      <c r="E738" s="15"/>
      <c r="F738" s="15"/>
    </row>
    <row r="739" spans="3:6" s="3" customFormat="1" ht="14.25">
      <c r="C739" s="15"/>
      <c r="D739" s="15"/>
      <c r="E739" s="15"/>
      <c r="F739" s="15"/>
    </row>
    <row r="740" spans="3:6" s="3" customFormat="1" ht="14.25">
      <c r="C740" s="15"/>
      <c r="D740" s="15"/>
      <c r="E740" s="15"/>
      <c r="F740" s="15"/>
    </row>
    <row r="741" spans="3:6" s="3" customFormat="1" ht="14.25">
      <c r="C741" s="15"/>
      <c r="D741" s="15"/>
      <c r="E741" s="15"/>
      <c r="F741" s="15"/>
    </row>
    <row r="742" spans="3:6" s="3" customFormat="1" ht="14.25">
      <c r="C742" s="15"/>
      <c r="D742" s="15"/>
      <c r="E742" s="15"/>
      <c r="F742" s="15"/>
    </row>
    <row r="743" spans="3:6" s="3" customFormat="1" ht="14.25">
      <c r="C743" s="15"/>
      <c r="D743" s="15"/>
      <c r="E743" s="15"/>
      <c r="F743" s="15"/>
    </row>
    <row r="744" spans="3:6" s="3" customFormat="1" ht="14.25">
      <c r="C744" s="15"/>
      <c r="D744" s="15"/>
      <c r="E744" s="15"/>
      <c r="F744" s="15"/>
    </row>
    <row r="745" spans="3:6" s="3" customFormat="1" ht="14.25">
      <c r="C745" s="15"/>
      <c r="D745" s="15"/>
      <c r="E745" s="15"/>
      <c r="F745" s="15"/>
    </row>
    <row r="746" spans="3:6" s="3" customFormat="1" ht="14.25">
      <c r="C746" s="15"/>
      <c r="D746" s="15"/>
      <c r="E746" s="15"/>
      <c r="F746" s="15"/>
    </row>
    <row r="747" spans="3:6" s="3" customFormat="1" ht="14.25">
      <c r="C747" s="15"/>
      <c r="D747" s="15"/>
      <c r="E747" s="15"/>
      <c r="F747" s="15"/>
    </row>
    <row r="748" spans="3:6" s="3" customFormat="1" ht="14.25">
      <c r="C748" s="15"/>
      <c r="D748" s="15"/>
      <c r="E748" s="15"/>
      <c r="F748" s="15"/>
    </row>
    <row r="749" spans="3:6" s="3" customFormat="1" ht="14.25">
      <c r="C749" s="15"/>
      <c r="D749" s="15"/>
      <c r="E749" s="15"/>
      <c r="F749" s="15"/>
    </row>
    <row r="750" spans="3:6" s="3" customFormat="1" ht="14.25">
      <c r="C750" s="15"/>
      <c r="D750" s="15"/>
      <c r="E750" s="15"/>
      <c r="F750" s="15"/>
    </row>
    <row r="751" spans="3:6" s="3" customFormat="1" ht="14.25">
      <c r="C751" s="15"/>
      <c r="D751" s="15"/>
      <c r="E751" s="15"/>
      <c r="F751" s="15"/>
    </row>
    <row r="752" spans="3:6" s="3" customFormat="1" ht="14.25">
      <c r="C752" s="15"/>
      <c r="D752" s="15"/>
      <c r="E752" s="15"/>
      <c r="F752" s="15"/>
    </row>
    <row r="753" spans="3:6" s="3" customFormat="1" ht="14.25">
      <c r="C753" s="15"/>
      <c r="D753" s="15"/>
      <c r="E753" s="15"/>
      <c r="F753" s="15"/>
    </row>
    <row r="754" spans="3:6" s="3" customFormat="1" ht="14.25">
      <c r="C754" s="15"/>
      <c r="D754" s="15"/>
      <c r="E754" s="15"/>
      <c r="F754" s="15"/>
    </row>
    <row r="755" spans="3:6" s="3" customFormat="1" ht="14.25">
      <c r="C755" s="15"/>
      <c r="D755" s="15"/>
      <c r="E755" s="15"/>
      <c r="F755" s="15"/>
    </row>
    <row r="756" spans="3:6" s="3" customFormat="1" ht="14.25">
      <c r="C756" s="15"/>
      <c r="D756" s="15"/>
      <c r="E756" s="15"/>
      <c r="F756" s="15"/>
    </row>
    <row r="757" spans="3:6" s="3" customFormat="1" ht="14.25">
      <c r="C757" s="15"/>
      <c r="D757" s="15"/>
      <c r="E757" s="15"/>
      <c r="F757" s="15"/>
    </row>
    <row r="758" spans="3:6" s="3" customFormat="1" ht="14.25">
      <c r="C758" s="15"/>
      <c r="D758" s="15"/>
      <c r="E758" s="15"/>
      <c r="F758" s="15"/>
    </row>
    <row r="759" spans="3:6" s="3" customFormat="1" ht="14.25">
      <c r="C759" s="15"/>
      <c r="D759" s="15"/>
      <c r="E759" s="15"/>
      <c r="F759" s="15"/>
    </row>
    <row r="760" spans="3:6" s="3" customFormat="1" ht="14.25">
      <c r="C760" s="15"/>
      <c r="D760" s="15"/>
      <c r="E760" s="15"/>
      <c r="F760" s="15"/>
    </row>
    <row r="761" spans="3:6" s="3" customFormat="1" ht="14.25">
      <c r="C761" s="15"/>
      <c r="D761" s="15"/>
      <c r="E761" s="15"/>
      <c r="F761" s="15"/>
    </row>
    <row r="762" spans="3:6" s="3" customFormat="1" ht="14.25">
      <c r="C762" s="15"/>
      <c r="D762" s="15"/>
      <c r="E762" s="15"/>
      <c r="F762" s="15"/>
    </row>
    <row r="763" spans="3:6" s="3" customFormat="1" ht="14.25">
      <c r="C763" s="15"/>
      <c r="D763" s="15"/>
      <c r="E763" s="15"/>
      <c r="F763" s="15"/>
    </row>
    <row r="764" spans="3:6" s="3" customFormat="1" ht="14.25">
      <c r="C764" s="15"/>
      <c r="D764" s="15"/>
      <c r="E764" s="15"/>
      <c r="F764" s="15"/>
    </row>
    <row r="765" spans="3:6" s="3" customFormat="1" ht="14.25">
      <c r="C765" s="15"/>
      <c r="D765" s="15"/>
      <c r="E765" s="15"/>
      <c r="F765" s="15"/>
    </row>
    <row r="766" spans="3:6" s="3" customFormat="1" ht="14.25">
      <c r="C766" s="15"/>
      <c r="D766" s="15"/>
      <c r="E766" s="15"/>
      <c r="F766" s="15"/>
    </row>
    <row r="767" spans="3:6" s="3" customFormat="1" ht="14.25">
      <c r="C767" s="15"/>
      <c r="D767" s="15"/>
      <c r="E767" s="15"/>
      <c r="F767" s="15"/>
    </row>
    <row r="768" spans="3:6" s="3" customFormat="1" ht="14.25">
      <c r="C768" s="15"/>
      <c r="D768" s="15"/>
      <c r="E768" s="15"/>
      <c r="F768" s="15"/>
    </row>
    <row r="769" spans="3:6" s="3" customFormat="1" ht="14.25">
      <c r="C769" s="15"/>
      <c r="D769" s="15"/>
      <c r="E769" s="15"/>
      <c r="F769" s="15"/>
    </row>
    <row r="770" spans="3:6" s="3" customFormat="1" ht="14.25">
      <c r="C770" s="15"/>
      <c r="D770" s="15"/>
      <c r="E770" s="15"/>
      <c r="F770" s="15"/>
    </row>
    <row r="771" spans="3:6" s="3" customFormat="1" ht="14.25">
      <c r="C771" s="15"/>
      <c r="D771" s="15"/>
      <c r="E771" s="15"/>
      <c r="F771" s="15"/>
    </row>
    <row r="772" spans="3:6" s="3" customFormat="1" ht="14.25">
      <c r="C772" s="15"/>
      <c r="D772" s="15"/>
      <c r="E772" s="15"/>
      <c r="F772" s="15"/>
    </row>
    <row r="773" spans="3:6" s="3" customFormat="1" ht="14.25">
      <c r="C773" s="15"/>
      <c r="D773" s="15"/>
      <c r="E773" s="15"/>
      <c r="F773" s="15"/>
    </row>
    <row r="774" spans="3:6" s="3" customFormat="1" ht="14.25">
      <c r="C774" s="15"/>
      <c r="D774" s="15"/>
      <c r="E774" s="15"/>
      <c r="F774" s="15"/>
    </row>
    <row r="775" spans="3:6" s="3" customFormat="1" ht="14.25">
      <c r="C775" s="15"/>
      <c r="D775" s="15"/>
      <c r="E775" s="15"/>
      <c r="F775" s="15"/>
    </row>
    <row r="776" spans="3:6" s="3" customFormat="1" ht="14.25">
      <c r="C776" s="15"/>
      <c r="D776" s="15"/>
      <c r="E776" s="15"/>
      <c r="F776" s="15"/>
    </row>
    <row r="777" spans="3:6" s="3" customFormat="1" ht="14.25">
      <c r="C777" s="15"/>
      <c r="D777" s="15"/>
      <c r="E777" s="15"/>
      <c r="F777" s="15"/>
    </row>
    <row r="778" spans="3:6" s="3" customFormat="1" ht="14.25">
      <c r="C778" s="15"/>
      <c r="D778" s="15"/>
      <c r="E778" s="15"/>
      <c r="F778" s="15"/>
    </row>
    <row r="779" spans="3:6" s="3" customFormat="1" ht="14.25">
      <c r="C779" s="15"/>
      <c r="D779" s="15"/>
      <c r="E779" s="15"/>
      <c r="F779" s="15"/>
    </row>
    <row r="780" spans="3:6" s="3" customFormat="1" ht="14.25">
      <c r="C780" s="15"/>
      <c r="D780" s="15"/>
      <c r="E780" s="15"/>
      <c r="F780" s="15"/>
    </row>
    <row r="781" spans="3:6" s="3" customFormat="1" ht="14.25">
      <c r="C781" s="15"/>
      <c r="D781" s="15"/>
      <c r="E781" s="15"/>
      <c r="F781" s="15"/>
    </row>
    <row r="782" spans="3:6" s="3" customFormat="1" ht="14.25">
      <c r="C782" s="15"/>
      <c r="D782" s="15"/>
      <c r="E782" s="15"/>
      <c r="F782" s="15"/>
    </row>
    <row r="783" spans="3:6" s="3" customFormat="1" ht="14.25">
      <c r="C783" s="15"/>
      <c r="D783" s="15"/>
      <c r="E783" s="15"/>
      <c r="F783" s="15"/>
    </row>
    <row r="784" spans="3:6" s="3" customFormat="1" ht="14.25">
      <c r="C784" s="15"/>
      <c r="D784" s="15"/>
      <c r="E784" s="15"/>
      <c r="F784" s="15"/>
    </row>
    <row r="785" spans="3:6" s="3" customFormat="1" ht="14.25">
      <c r="C785" s="15"/>
      <c r="D785" s="15"/>
      <c r="E785" s="15"/>
      <c r="F785" s="15"/>
    </row>
    <row r="786" spans="3:6" s="3" customFormat="1" ht="14.25">
      <c r="C786" s="15"/>
      <c r="D786" s="15"/>
      <c r="E786" s="15"/>
      <c r="F786" s="15"/>
    </row>
    <row r="787" spans="3:6" s="3" customFormat="1" ht="14.25">
      <c r="C787" s="15"/>
      <c r="D787" s="15"/>
      <c r="E787" s="15"/>
      <c r="F787" s="15"/>
    </row>
    <row r="788" spans="3:6" s="3" customFormat="1" ht="14.25">
      <c r="C788" s="15"/>
      <c r="D788" s="15"/>
      <c r="E788" s="15"/>
      <c r="F788" s="15"/>
    </row>
    <row r="789" spans="3:6" s="3" customFormat="1" ht="14.25">
      <c r="C789" s="15"/>
      <c r="D789" s="15"/>
      <c r="E789" s="15"/>
      <c r="F789" s="15"/>
    </row>
    <row r="790" spans="3:6" s="3" customFormat="1" ht="14.25">
      <c r="C790" s="15"/>
      <c r="D790" s="15"/>
      <c r="E790" s="15"/>
      <c r="F790" s="15"/>
    </row>
    <row r="791" spans="3:6" s="3" customFormat="1" ht="14.25">
      <c r="C791" s="15"/>
      <c r="D791" s="15"/>
      <c r="E791" s="15"/>
      <c r="F791" s="15"/>
    </row>
    <row r="792" spans="3:6" s="3" customFormat="1" ht="14.25">
      <c r="C792" s="15"/>
      <c r="D792" s="15"/>
      <c r="E792" s="15"/>
      <c r="F792" s="15"/>
    </row>
    <row r="793" spans="3:6" s="3" customFormat="1" ht="14.25">
      <c r="C793" s="15"/>
      <c r="D793" s="15"/>
      <c r="E793" s="15"/>
      <c r="F793" s="15"/>
    </row>
    <row r="794" spans="3:6" s="3" customFormat="1" ht="14.25">
      <c r="C794" s="15"/>
      <c r="D794" s="15"/>
      <c r="E794" s="15"/>
      <c r="F794" s="15"/>
    </row>
    <row r="795" spans="3:6" s="3" customFormat="1" ht="14.25">
      <c r="C795" s="15"/>
      <c r="D795" s="15"/>
      <c r="E795" s="15"/>
      <c r="F795" s="15"/>
    </row>
    <row r="796" spans="3:6" s="3" customFormat="1" ht="14.25">
      <c r="C796" s="15"/>
      <c r="D796" s="15"/>
      <c r="E796" s="15"/>
      <c r="F796" s="15"/>
    </row>
    <row r="797" spans="3:6" s="3" customFormat="1" ht="14.25">
      <c r="C797" s="15"/>
      <c r="D797" s="15"/>
      <c r="E797" s="15"/>
      <c r="F797" s="15"/>
    </row>
    <row r="798" spans="3:6" s="3" customFormat="1" ht="14.25">
      <c r="C798" s="15"/>
      <c r="D798" s="15"/>
      <c r="E798" s="15"/>
      <c r="F798" s="15"/>
    </row>
    <row r="799" spans="3:6" s="3" customFormat="1" ht="14.25">
      <c r="C799" s="15"/>
      <c r="D799" s="15"/>
      <c r="E799" s="15"/>
      <c r="F799" s="15"/>
    </row>
    <row r="800" spans="3:6" s="3" customFormat="1" ht="14.25">
      <c r="C800" s="15"/>
      <c r="D800" s="15"/>
      <c r="E800" s="15"/>
      <c r="F800" s="15"/>
    </row>
    <row r="801" spans="3:6" s="3" customFormat="1" ht="14.25">
      <c r="C801" s="15"/>
      <c r="D801" s="15"/>
      <c r="E801" s="15"/>
      <c r="F801" s="15"/>
    </row>
    <row r="802" spans="3:6" s="3" customFormat="1" ht="14.25">
      <c r="C802" s="15"/>
      <c r="D802" s="15"/>
      <c r="E802" s="15"/>
      <c r="F802" s="15"/>
    </row>
    <row r="803" spans="3:6" s="3" customFormat="1" ht="14.25">
      <c r="C803" s="15"/>
      <c r="D803" s="15"/>
      <c r="E803" s="15"/>
      <c r="F803" s="15"/>
    </row>
    <row r="804" spans="3:6" s="3" customFormat="1" ht="14.25">
      <c r="C804" s="15"/>
      <c r="D804" s="15"/>
      <c r="E804" s="15"/>
      <c r="F804" s="15"/>
    </row>
    <row r="805" spans="3:6" s="3" customFormat="1" ht="14.25">
      <c r="C805" s="15"/>
      <c r="D805" s="15"/>
      <c r="E805" s="15"/>
      <c r="F805" s="15"/>
    </row>
    <row r="806" spans="3:6" s="3" customFormat="1" ht="14.25">
      <c r="C806" s="15"/>
      <c r="D806" s="15"/>
      <c r="E806" s="15"/>
      <c r="F806" s="15"/>
    </row>
    <row r="807" spans="3:6" s="3" customFormat="1" ht="14.25">
      <c r="C807" s="15"/>
      <c r="D807" s="15"/>
      <c r="E807" s="15"/>
      <c r="F807" s="15"/>
    </row>
    <row r="808" spans="3:6" s="3" customFormat="1" ht="14.25">
      <c r="C808" s="15"/>
      <c r="D808" s="15"/>
      <c r="E808" s="15"/>
      <c r="F808" s="15"/>
    </row>
    <row r="809" spans="3:6" s="3" customFormat="1" ht="14.25">
      <c r="C809" s="15"/>
      <c r="D809" s="15"/>
      <c r="E809" s="15"/>
      <c r="F809" s="15"/>
    </row>
    <row r="810" spans="3:6" s="3" customFormat="1" ht="14.25">
      <c r="C810" s="15"/>
      <c r="D810" s="15"/>
      <c r="E810" s="15"/>
      <c r="F810" s="15"/>
    </row>
    <row r="811" spans="3:6" s="3" customFormat="1" ht="14.25">
      <c r="C811" s="15"/>
      <c r="D811" s="15"/>
      <c r="E811" s="15"/>
      <c r="F811" s="15"/>
    </row>
    <row r="812" spans="3:6" s="3" customFormat="1" ht="14.25">
      <c r="C812" s="15"/>
      <c r="D812" s="15"/>
      <c r="E812" s="15"/>
      <c r="F812" s="15"/>
    </row>
    <row r="813" spans="3:6" s="3" customFormat="1" ht="14.25">
      <c r="C813" s="15"/>
      <c r="D813" s="15"/>
      <c r="E813" s="15"/>
      <c r="F813" s="15"/>
    </row>
    <row r="814" spans="3:6" s="3" customFormat="1" ht="14.25">
      <c r="C814" s="15"/>
      <c r="D814" s="15"/>
      <c r="E814" s="15"/>
      <c r="F814" s="15"/>
    </row>
    <row r="815" spans="3:6" s="3" customFormat="1" ht="14.25">
      <c r="C815" s="15"/>
      <c r="D815" s="15"/>
      <c r="E815" s="15"/>
      <c r="F815" s="15"/>
    </row>
    <row r="816" spans="3:6" s="3" customFormat="1" ht="14.25">
      <c r="C816" s="15"/>
      <c r="D816" s="15"/>
      <c r="E816" s="15"/>
      <c r="F816" s="15"/>
    </row>
    <row r="817" spans="3:6" s="3" customFormat="1" ht="14.25">
      <c r="C817" s="15"/>
      <c r="D817" s="15"/>
      <c r="E817" s="15"/>
      <c r="F817" s="15"/>
    </row>
    <row r="818" spans="3:6" s="3" customFormat="1" ht="14.25">
      <c r="C818" s="15"/>
      <c r="D818" s="15"/>
      <c r="E818" s="15"/>
      <c r="F818" s="15"/>
    </row>
    <row r="819" spans="3:6" s="3" customFormat="1" ht="14.25">
      <c r="C819" s="15"/>
      <c r="D819" s="15"/>
      <c r="E819" s="15"/>
      <c r="F819" s="15"/>
    </row>
    <row r="820" spans="3:6" s="3" customFormat="1" ht="14.25">
      <c r="C820" s="15"/>
      <c r="D820" s="15"/>
      <c r="E820" s="15"/>
      <c r="F820" s="15"/>
    </row>
    <row r="821" spans="3:6" s="3" customFormat="1" ht="14.25">
      <c r="C821" s="15"/>
      <c r="D821" s="15"/>
      <c r="E821" s="15"/>
      <c r="F821" s="15"/>
    </row>
    <row r="822" spans="3:6" s="3" customFormat="1" ht="14.25">
      <c r="C822" s="15"/>
      <c r="D822" s="15"/>
      <c r="E822" s="15"/>
      <c r="F822" s="15"/>
    </row>
    <row r="823" spans="3:6" s="3" customFormat="1" ht="14.25">
      <c r="C823" s="15"/>
      <c r="D823" s="15"/>
      <c r="E823" s="15"/>
      <c r="F823" s="15"/>
    </row>
    <row r="824" spans="3:6" s="3" customFormat="1" ht="14.25">
      <c r="C824" s="15"/>
      <c r="D824" s="15"/>
      <c r="E824" s="15"/>
      <c r="F824" s="15"/>
    </row>
    <row r="825" spans="3:6" s="3" customFormat="1" ht="14.25">
      <c r="C825" s="15"/>
      <c r="D825" s="15"/>
      <c r="E825" s="15"/>
      <c r="F825" s="15"/>
    </row>
    <row r="826" spans="3:6" s="3" customFormat="1" ht="14.25">
      <c r="C826" s="15"/>
      <c r="D826" s="15"/>
      <c r="E826" s="15"/>
      <c r="F826" s="15"/>
    </row>
    <row r="827" spans="3:6" s="3" customFormat="1" ht="14.25">
      <c r="C827" s="15"/>
      <c r="D827" s="15"/>
      <c r="E827" s="15"/>
      <c r="F827" s="15"/>
    </row>
    <row r="828" spans="3:6" s="3" customFormat="1" ht="14.25">
      <c r="C828" s="15"/>
      <c r="D828" s="15"/>
      <c r="E828" s="15"/>
      <c r="F828" s="15"/>
    </row>
    <row r="829" spans="3:6" s="3" customFormat="1" ht="14.25">
      <c r="C829" s="15"/>
      <c r="D829" s="15"/>
      <c r="E829" s="15"/>
      <c r="F829" s="15"/>
    </row>
    <row r="830" spans="3:6" s="3" customFormat="1" ht="14.25">
      <c r="C830" s="15"/>
      <c r="D830" s="15"/>
      <c r="E830" s="15"/>
      <c r="F830" s="15"/>
    </row>
    <row r="831" spans="3:6" s="3" customFormat="1" ht="14.25">
      <c r="C831" s="15"/>
      <c r="D831" s="15"/>
      <c r="E831" s="15"/>
      <c r="F831" s="15"/>
    </row>
    <row r="832" spans="3:6" s="3" customFormat="1" ht="14.25">
      <c r="C832" s="15"/>
      <c r="D832" s="15"/>
      <c r="E832" s="15"/>
      <c r="F832" s="15"/>
    </row>
    <row r="833" spans="3:6" s="3" customFormat="1" ht="14.25">
      <c r="C833" s="15"/>
      <c r="D833" s="15"/>
      <c r="E833" s="15"/>
      <c r="F833" s="15"/>
    </row>
    <row r="834" spans="3:6" s="3" customFormat="1" ht="14.25">
      <c r="C834" s="15"/>
      <c r="D834" s="15"/>
      <c r="E834" s="15"/>
      <c r="F834" s="15"/>
    </row>
    <row r="835" spans="3:6" s="3" customFormat="1" ht="14.25">
      <c r="C835" s="15"/>
      <c r="D835" s="15"/>
      <c r="E835" s="15"/>
      <c r="F835" s="15"/>
    </row>
    <row r="836" spans="3:6" s="3" customFormat="1" ht="14.25">
      <c r="C836" s="15"/>
      <c r="D836" s="15"/>
      <c r="E836" s="15"/>
      <c r="F836" s="15"/>
    </row>
    <row r="837" spans="3:6" s="3" customFormat="1" ht="14.25">
      <c r="C837" s="15"/>
      <c r="D837" s="15"/>
      <c r="E837" s="15"/>
      <c r="F837" s="15"/>
    </row>
    <row r="838" spans="3:6" s="3" customFormat="1" ht="14.25">
      <c r="C838" s="15"/>
      <c r="D838" s="15"/>
      <c r="E838" s="15"/>
      <c r="F838" s="15"/>
    </row>
    <row r="839" spans="3:6" s="3" customFormat="1" ht="14.25">
      <c r="C839" s="15"/>
      <c r="D839" s="15"/>
      <c r="E839" s="15"/>
      <c r="F839" s="15"/>
    </row>
    <row r="840" spans="3:6" s="3" customFormat="1" ht="14.25">
      <c r="C840" s="15"/>
      <c r="D840" s="15"/>
      <c r="E840" s="15"/>
      <c r="F840" s="15"/>
    </row>
    <row r="841" spans="3:6" s="3" customFormat="1" ht="14.25">
      <c r="C841" s="15"/>
      <c r="D841" s="15"/>
      <c r="E841" s="15"/>
      <c r="F841" s="15"/>
    </row>
    <row r="842" spans="3:6" s="3" customFormat="1" ht="14.25">
      <c r="C842" s="15"/>
      <c r="D842" s="15"/>
      <c r="E842" s="15"/>
      <c r="F842" s="15"/>
    </row>
    <row r="843" spans="3:6" s="3" customFormat="1" ht="14.25">
      <c r="C843" s="15"/>
      <c r="D843" s="15"/>
      <c r="E843" s="15"/>
      <c r="F843" s="15"/>
    </row>
    <row r="844" spans="3:6" s="3" customFormat="1" ht="14.25">
      <c r="C844" s="15"/>
      <c r="D844" s="15"/>
      <c r="E844" s="15"/>
      <c r="F844" s="15"/>
    </row>
    <row r="845" spans="3:6" s="3" customFormat="1" ht="14.25">
      <c r="C845" s="15"/>
      <c r="D845" s="15"/>
      <c r="E845" s="15"/>
      <c r="F845" s="15"/>
    </row>
    <row r="846" spans="3:6" s="3" customFormat="1" ht="14.25">
      <c r="C846" s="15"/>
      <c r="D846" s="15"/>
      <c r="E846" s="15"/>
      <c r="F846" s="15"/>
    </row>
    <row r="847" spans="3:6" s="3" customFormat="1" ht="14.25">
      <c r="C847" s="15"/>
      <c r="D847" s="15"/>
      <c r="E847" s="15"/>
      <c r="F847" s="15"/>
    </row>
    <row r="848" spans="3:6" s="3" customFormat="1" ht="14.25">
      <c r="C848" s="15"/>
      <c r="D848" s="15"/>
      <c r="E848" s="15"/>
      <c r="F848" s="15"/>
    </row>
    <row r="849" spans="3:6" s="3" customFormat="1" ht="14.25">
      <c r="C849" s="15"/>
      <c r="D849" s="15"/>
      <c r="E849" s="15"/>
      <c r="F849" s="15"/>
    </row>
    <row r="850" spans="3:6" s="3" customFormat="1" ht="14.25">
      <c r="C850" s="15"/>
      <c r="D850" s="15"/>
      <c r="E850" s="15"/>
      <c r="F850" s="15"/>
    </row>
    <row r="851" spans="3:6" s="3" customFormat="1" ht="14.25">
      <c r="C851" s="15"/>
      <c r="D851" s="15"/>
      <c r="E851" s="15"/>
      <c r="F851" s="15"/>
    </row>
    <row r="852" spans="3:6" s="3" customFormat="1" ht="14.25">
      <c r="C852" s="15"/>
      <c r="D852" s="15"/>
      <c r="E852" s="15"/>
      <c r="F852" s="15"/>
    </row>
    <row r="853" spans="3:6" s="3" customFormat="1" ht="14.25">
      <c r="C853" s="15"/>
      <c r="D853" s="15"/>
      <c r="E853" s="15"/>
      <c r="F853" s="15"/>
    </row>
    <row r="854" spans="3:6" s="3" customFormat="1" ht="14.25">
      <c r="C854" s="15"/>
      <c r="D854" s="15"/>
      <c r="E854" s="15"/>
      <c r="F854" s="15"/>
    </row>
    <row r="855" spans="3:6" s="3" customFormat="1" ht="14.25">
      <c r="C855" s="15"/>
      <c r="D855" s="15"/>
      <c r="E855" s="15"/>
      <c r="F855" s="15"/>
    </row>
    <row r="856" spans="3:6" s="3" customFormat="1" ht="14.25">
      <c r="C856" s="15"/>
      <c r="D856" s="15"/>
      <c r="E856" s="15"/>
      <c r="F856" s="15"/>
    </row>
    <row r="857" spans="3:6" s="3" customFormat="1" ht="14.25">
      <c r="C857" s="15"/>
      <c r="D857" s="15"/>
      <c r="E857" s="15"/>
      <c r="F857" s="15"/>
    </row>
    <row r="858" spans="3:6" s="3" customFormat="1" ht="14.25">
      <c r="C858" s="15"/>
      <c r="D858" s="15"/>
      <c r="E858" s="15"/>
      <c r="F858" s="15"/>
    </row>
    <row r="859" spans="3:6" s="3" customFormat="1" ht="14.25">
      <c r="C859" s="15"/>
      <c r="D859" s="15"/>
      <c r="E859" s="15"/>
      <c r="F859" s="15"/>
    </row>
    <row r="860" spans="3:6" s="3" customFormat="1" ht="14.25">
      <c r="C860" s="15"/>
      <c r="D860" s="15"/>
      <c r="E860" s="15"/>
      <c r="F860" s="15"/>
    </row>
    <row r="861" spans="3:6" s="3" customFormat="1" ht="14.25">
      <c r="C861" s="15"/>
      <c r="D861" s="15"/>
      <c r="E861" s="15"/>
      <c r="F861" s="15"/>
    </row>
    <row r="862" spans="3:6" s="3" customFormat="1" ht="14.25">
      <c r="C862" s="15"/>
      <c r="D862" s="15"/>
      <c r="E862" s="15"/>
      <c r="F862" s="15"/>
    </row>
    <row r="863" spans="3:6" s="3" customFormat="1" ht="14.25">
      <c r="C863" s="15"/>
      <c r="D863" s="15"/>
      <c r="E863" s="15"/>
      <c r="F863" s="15"/>
    </row>
    <row r="864" spans="3:6" s="3" customFormat="1" ht="14.25">
      <c r="C864" s="15"/>
      <c r="D864" s="15"/>
      <c r="E864" s="15"/>
      <c r="F864" s="15"/>
    </row>
    <row r="865" spans="3:6" s="3" customFormat="1" ht="14.25">
      <c r="C865" s="15"/>
      <c r="D865" s="15"/>
      <c r="E865" s="15"/>
      <c r="F865" s="15"/>
    </row>
    <row r="866" spans="3:6" s="3" customFormat="1" ht="14.25">
      <c r="C866" s="15"/>
      <c r="D866" s="15"/>
      <c r="E866" s="15"/>
      <c r="F866" s="15"/>
    </row>
    <row r="867" spans="3:6" s="3" customFormat="1" ht="14.25">
      <c r="C867" s="15"/>
      <c r="D867" s="15"/>
      <c r="E867" s="15"/>
      <c r="F867" s="15"/>
    </row>
    <row r="868" spans="3:6" s="3" customFormat="1" ht="14.25">
      <c r="C868" s="15"/>
      <c r="D868" s="15"/>
      <c r="E868" s="15"/>
      <c r="F868" s="15"/>
    </row>
    <row r="869" spans="3:6" s="3" customFormat="1" ht="14.25">
      <c r="C869" s="15"/>
      <c r="D869" s="15"/>
      <c r="E869" s="15"/>
      <c r="F869" s="15"/>
    </row>
    <row r="870" spans="3:6" s="3" customFormat="1" ht="14.25">
      <c r="C870" s="15"/>
      <c r="D870" s="15"/>
      <c r="E870" s="15"/>
      <c r="F870" s="15"/>
    </row>
    <row r="871" spans="3:6" s="3" customFormat="1" ht="14.25">
      <c r="C871" s="15"/>
      <c r="D871" s="15"/>
      <c r="E871" s="15"/>
      <c r="F871" s="15"/>
    </row>
    <row r="872" spans="3:6" s="3" customFormat="1" ht="14.25">
      <c r="C872" s="15"/>
      <c r="D872" s="15"/>
      <c r="E872" s="15"/>
      <c r="F872" s="15"/>
    </row>
    <row r="873" spans="3:6" s="3" customFormat="1" ht="14.25">
      <c r="C873" s="15"/>
      <c r="D873" s="15"/>
      <c r="E873" s="15"/>
      <c r="F873" s="15"/>
    </row>
    <row r="874" spans="3:6" s="3" customFormat="1" ht="14.25">
      <c r="C874" s="15"/>
      <c r="D874" s="15"/>
      <c r="E874" s="15"/>
      <c r="F874" s="15"/>
    </row>
    <row r="875" spans="3:6" s="3" customFormat="1" ht="14.25">
      <c r="C875" s="15"/>
      <c r="D875" s="15"/>
      <c r="E875" s="15"/>
      <c r="F875" s="15"/>
    </row>
    <row r="876" spans="3:6" s="3" customFormat="1" ht="14.25">
      <c r="C876" s="15"/>
      <c r="D876" s="15"/>
      <c r="E876" s="15"/>
      <c r="F876" s="15"/>
    </row>
    <row r="877" spans="3:6" s="3" customFormat="1" ht="14.25">
      <c r="C877" s="15"/>
      <c r="D877" s="15"/>
      <c r="E877" s="15"/>
      <c r="F877" s="15"/>
    </row>
    <row r="878" spans="3:6" s="3" customFormat="1" ht="14.25">
      <c r="C878" s="15"/>
      <c r="D878" s="15"/>
      <c r="E878" s="15"/>
      <c r="F878" s="15"/>
    </row>
    <row r="879" spans="3:6" s="3" customFormat="1" ht="14.25">
      <c r="C879" s="15"/>
      <c r="D879" s="15"/>
      <c r="E879" s="15"/>
      <c r="F879" s="15"/>
    </row>
    <row r="880" spans="3:6" s="3" customFormat="1" ht="14.25">
      <c r="C880" s="15"/>
      <c r="D880" s="15"/>
      <c r="E880" s="15"/>
      <c r="F880" s="15"/>
    </row>
    <row r="881" spans="3:6" s="3" customFormat="1" ht="14.25">
      <c r="C881" s="15"/>
      <c r="D881" s="15"/>
      <c r="E881" s="15"/>
      <c r="F881" s="15"/>
    </row>
    <row r="882" spans="3:6" s="3" customFormat="1" ht="14.25">
      <c r="C882" s="15"/>
      <c r="D882" s="15"/>
      <c r="E882" s="15"/>
      <c r="F882" s="15"/>
    </row>
    <row r="883" spans="3:6" s="3" customFormat="1" ht="14.25">
      <c r="C883" s="15"/>
      <c r="D883" s="15"/>
      <c r="E883" s="15"/>
      <c r="F883" s="15"/>
    </row>
    <row r="884" spans="3:6" s="3" customFormat="1" ht="14.25">
      <c r="C884" s="15"/>
      <c r="D884" s="15"/>
      <c r="E884" s="15"/>
      <c r="F884" s="15"/>
    </row>
    <row r="885" spans="3:6" s="3" customFormat="1" ht="14.25">
      <c r="C885" s="15"/>
      <c r="D885" s="15"/>
      <c r="E885" s="15"/>
      <c r="F885" s="15"/>
    </row>
    <row r="886" spans="3:6" s="3" customFormat="1" ht="14.25">
      <c r="C886" s="15"/>
      <c r="D886" s="15"/>
      <c r="E886" s="15"/>
      <c r="F886" s="15"/>
    </row>
    <row r="887" spans="3:6" s="3" customFormat="1" ht="14.25">
      <c r="C887" s="15"/>
      <c r="D887" s="15"/>
      <c r="E887" s="15"/>
      <c r="F887" s="15"/>
    </row>
    <row r="888" spans="3:6" s="3" customFormat="1" ht="14.25">
      <c r="C888" s="15"/>
      <c r="D888" s="15"/>
      <c r="E888" s="15"/>
      <c r="F888" s="15"/>
    </row>
    <row r="889" spans="3:6" s="3" customFormat="1" ht="14.25">
      <c r="C889" s="15"/>
      <c r="D889" s="15"/>
      <c r="E889" s="15"/>
      <c r="F889" s="15"/>
    </row>
    <row r="890" spans="3:6" s="3" customFormat="1" ht="14.25">
      <c r="C890" s="15"/>
      <c r="D890" s="15"/>
      <c r="E890" s="15"/>
      <c r="F890" s="15"/>
    </row>
    <row r="891" spans="3:6" s="3" customFormat="1" ht="14.25">
      <c r="C891" s="15"/>
      <c r="D891" s="15"/>
      <c r="E891" s="15"/>
      <c r="F891" s="15"/>
    </row>
    <row r="892" spans="3:6" s="3" customFormat="1" ht="14.25">
      <c r="C892" s="15"/>
      <c r="D892" s="15"/>
      <c r="E892" s="15"/>
      <c r="F892" s="15"/>
    </row>
    <row r="893" spans="3:6" s="3" customFormat="1" ht="14.25">
      <c r="C893" s="15"/>
      <c r="D893" s="15"/>
      <c r="E893" s="15"/>
      <c r="F893" s="15"/>
    </row>
    <row r="894" spans="3:6" s="3" customFormat="1" ht="14.25">
      <c r="C894" s="15"/>
      <c r="D894" s="15"/>
      <c r="E894" s="15"/>
      <c r="F894" s="15"/>
    </row>
    <row r="895" spans="3:6" s="3" customFormat="1" ht="14.25">
      <c r="C895" s="15"/>
      <c r="D895" s="15"/>
      <c r="E895" s="15"/>
      <c r="F895" s="15"/>
    </row>
    <row r="896" spans="3:6" s="3" customFormat="1" ht="14.25">
      <c r="C896" s="15"/>
      <c r="D896" s="15"/>
      <c r="E896" s="15"/>
      <c r="F896" s="15"/>
    </row>
    <row r="897" spans="3:6" s="3" customFormat="1" ht="14.25">
      <c r="C897" s="15"/>
      <c r="D897" s="15"/>
      <c r="E897" s="15"/>
      <c r="F897" s="15"/>
    </row>
    <row r="898" spans="3:6" s="3" customFormat="1" ht="14.25">
      <c r="C898" s="15"/>
      <c r="D898" s="15"/>
      <c r="E898" s="15"/>
      <c r="F898" s="15"/>
    </row>
    <row r="899" spans="3:6" s="3" customFormat="1" ht="14.25">
      <c r="C899" s="15"/>
      <c r="D899" s="15"/>
      <c r="E899" s="15"/>
      <c r="F899" s="15"/>
    </row>
    <row r="900" spans="3:6" s="3" customFormat="1" ht="14.25">
      <c r="C900" s="15"/>
      <c r="D900" s="15"/>
      <c r="E900" s="15"/>
      <c r="F900" s="15"/>
    </row>
    <row r="901" spans="3:6" s="3" customFormat="1" ht="14.25">
      <c r="C901" s="15"/>
      <c r="D901" s="15"/>
      <c r="E901" s="15"/>
      <c r="F901" s="15"/>
    </row>
    <row r="902" spans="3:6" s="3" customFormat="1" ht="14.25">
      <c r="C902" s="15"/>
      <c r="D902" s="15"/>
      <c r="E902" s="15"/>
      <c r="F902" s="15"/>
    </row>
    <row r="903" spans="3:6" s="3" customFormat="1" ht="14.25">
      <c r="C903" s="15"/>
      <c r="D903" s="15"/>
      <c r="E903" s="15"/>
      <c r="F903" s="15"/>
    </row>
    <row r="904" spans="3:6" s="3" customFormat="1" ht="14.25">
      <c r="C904" s="15"/>
      <c r="D904" s="15"/>
      <c r="E904" s="15"/>
      <c r="F904" s="15"/>
    </row>
    <row r="905" spans="3:6" s="3" customFormat="1" ht="14.25">
      <c r="C905" s="15"/>
      <c r="D905" s="15"/>
      <c r="E905" s="15"/>
      <c r="F905" s="15"/>
    </row>
    <row r="906" spans="3:6" s="3" customFormat="1" ht="14.25">
      <c r="C906" s="15"/>
      <c r="D906" s="15"/>
      <c r="E906" s="15"/>
      <c r="F906" s="15"/>
    </row>
    <row r="907" spans="3:6" s="3" customFormat="1" ht="14.25">
      <c r="C907" s="15"/>
      <c r="D907" s="15"/>
      <c r="E907" s="15"/>
      <c r="F907" s="15"/>
    </row>
    <row r="908" spans="3:6" s="3" customFormat="1" ht="14.25">
      <c r="C908" s="15"/>
      <c r="D908" s="15"/>
      <c r="E908" s="15"/>
      <c r="F908" s="15"/>
    </row>
    <row r="909" spans="3:6" s="3" customFormat="1" ht="14.25">
      <c r="C909" s="15"/>
      <c r="D909" s="15"/>
      <c r="E909" s="15"/>
      <c r="F909" s="15"/>
    </row>
    <row r="910" spans="3:6" s="3" customFormat="1" ht="14.25">
      <c r="C910" s="15"/>
      <c r="D910" s="15"/>
      <c r="E910" s="15"/>
      <c r="F910" s="15"/>
    </row>
    <row r="911" spans="3:6" s="3" customFormat="1" ht="14.25">
      <c r="C911" s="15"/>
      <c r="D911" s="15"/>
      <c r="E911" s="15"/>
      <c r="F911" s="15"/>
    </row>
    <row r="912" spans="3:6" s="3" customFormat="1" ht="14.25">
      <c r="C912" s="15"/>
      <c r="D912" s="15"/>
      <c r="E912" s="15"/>
      <c r="F912" s="15"/>
    </row>
    <row r="913" spans="3:6" s="3" customFormat="1" ht="14.25">
      <c r="C913" s="15"/>
      <c r="D913" s="15"/>
      <c r="E913" s="15"/>
      <c r="F913" s="15"/>
    </row>
    <row r="914" spans="3:6" s="3" customFormat="1" ht="14.25">
      <c r="C914" s="15"/>
      <c r="D914" s="15"/>
      <c r="E914" s="15"/>
      <c r="F914" s="15"/>
    </row>
    <row r="915" spans="3:6" s="3" customFormat="1" ht="14.25">
      <c r="C915" s="15"/>
      <c r="D915" s="15"/>
      <c r="E915" s="15"/>
      <c r="F915" s="15"/>
    </row>
    <row r="916" spans="3:6" s="3" customFormat="1" ht="14.25">
      <c r="C916" s="15"/>
      <c r="D916" s="15"/>
      <c r="E916" s="15"/>
      <c r="F916" s="15"/>
    </row>
    <row r="917" spans="3:6" s="3" customFormat="1" ht="14.25">
      <c r="C917" s="15"/>
      <c r="D917" s="15"/>
      <c r="E917" s="15"/>
      <c r="F917" s="15"/>
    </row>
    <row r="918" spans="3:6" s="3" customFormat="1" ht="14.25">
      <c r="C918" s="15"/>
      <c r="D918" s="15"/>
      <c r="E918" s="15"/>
      <c r="F918" s="15"/>
    </row>
    <row r="919" spans="3:6" s="3" customFormat="1" ht="14.25">
      <c r="C919" s="15"/>
      <c r="D919" s="15"/>
      <c r="E919" s="15"/>
      <c r="F919" s="15"/>
    </row>
    <row r="920" spans="3:6" s="3" customFormat="1" ht="14.25">
      <c r="C920" s="15"/>
      <c r="D920" s="15"/>
      <c r="E920" s="15"/>
      <c r="F920" s="15"/>
    </row>
    <row r="921" spans="3:6" s="3" customFormat="1" ht="14.25">
      <c r="C921" s="15"/>
      <c r="D921" s="15"/>
      <c r="E921" s="15"/>
      <c r="F921" s="15"/>
    </row>
    <row r="922" spans="3:6" s="3" customFormat="1" ht="14.25">
      <c r="C922" s="15"/>
      <c r="D922" s="15"/>
      <c r="E922" s="15"/>
      <c r="F922" s="15"/>
    </row>
    <row r="923" spans="3:6" s="3" customFormat="1" ht="14.25">
      <c r="C923" s="15"/>
      <c r="D923" s="15"/>
      <c r="E923" s="15"/>
      <c r="F923" s="15"/>
    </row>
    <row r="924" spans="3:6" s="3" customFormat="1" ht="14.25">
      <c r="C924" s="15"/>
      <c r="D924" s="15"/>
      <c r="E924" s="15"/>
      <c r="F924" s="15"/>
    </row>
    <row r="925" spans="3:6" s="3" customFormat="1" ht="14.25">
      <c r="C925" s="15"/>
      <c r="D925" s="15"/>
      <c r="E925" s="15"/>
      <c r="F925" s="15"/>
    </row>
    <row r="926" spans="3:6" s="3" customFormat="1" ht="14.25">
      <c r="C926" s="15"/>
      <c r="D926" s="15"/>
      <c r="E926" s="15"/>
      <c r="F926" s="15"/>
    </row>
    <row r="927" spans="3:6" s="3" customFormat="1" ht="14.25">
      <c r="C927" s="15"/>
      <c r="D927" s="15"/>
      <c r="E927" s="15"/>
      <c r="F927" s="15"/>
    </row>
    <row r="928" spans="3:6" s="3" customFormat="1" ht="14.25">
      <c r="C928" s="15"/>
      <c r="D928" s="15"/>
      <c r="E928" s="15"/>
      <c r="F928" s="15"/>
    </row>
    <row r="929" spans="3:6" s="3" customFormat="1" ht="14.25">
      <c r="C929" s="15"/>
      <c r="D929" s="15"/>
      <c r="E929" s="15"/>
      <c r="F929" s="15"/>
    </row>
    <row r="930" spans="3:6" s="3" customFormat="1" ht="14.25">
      <c r="C930" s="15"/>
      <c r="D930" s="15"/>
      <c r="E930" s="15"/>
      <c r="F930" s="15"/>
    </row>
    <row r="931" spans="3:6" s="3" customFormat="1" ht="14.25">
      <c r="C931" s="15"/>
      <c r="D931" s="15"/>
      <c r="E931" s="15"/>
      <c r="F931" s="15"/>
    </row>
    <row r="932" spans="3:6" s="3" customFormat="1" ht="14.25">
      <c r="C932" s="15"/>
      <c r="D932" s="15"/>
      <c r="E932" s="15"/>
      <c r="F932" s="15"/>
    </row>
    <row r="933" spans="3:6" s="3" customFormat="1" ht="14.25">
      <c r="C933" s="15"/>
      <c r="D933" s="15"/>
      <c r="E933" s="15"/>
      <c r="F933" s="15"/>
    </row>
    <row r="934" spans="3:6" s="3" customFormat="1" ht="14.25">
      <c r="C934" s="15"/>
      <c r="D934" s="15"/>
      <c r="E934" s="15"/>
      <c r="F934" s="15"/>
    </row>
    <row r="935" spans="3:6" s="3" customFormat="1" ht="14.25">
      <c r="C935" s="15"/>
      <c r="D935" s="15"/>
      <c r="E935" s="15"/>
      <c r="F935" s="15"/>
    </row>
    <row r="936" spans="3:6" s="3" customFormat="1" ht="14.25">
      <c r="C936" s="15"/>
      <c r="D936" s="15"/>
      <c r="E936" s="15"/>
      <c r="F936" s="15"/>
    </row>
    <row r="937" spans="3:6" s="3" customFormat="1" ht="14.25">
      <c r="C937" s="15"/>
      <c r="D937" s="15"/>
      <c r="E937" s="15"/>
      <c r="F937" s="15"/>
    </row>
    <row r="938" spans="3:6" s="3" customFormat="1" ht="14.25">
      <c r="C938" s="15"/>
      <c r="D938" s="15"/>
      <c r="E938" s="15"/>
      <c r="F938" s="15"/>
    </row>
    <row r="939" spans="3:6" s="3" customFormat="1" ht="14.25">
      <c r="C939" s="15"/>
      <c r="D939" s="15"/>
      <c r="E939" s="15"/>
      <c r="F939" s="15"/>
    </row>
    <row r="940" spans="3:6" s="3" customFormat="1" ht="14.25">
      <c r="C940" s="15"/>
      <c r="D940" s="15"/>
      <c r="E940" s="15"/>
      <c r="F940" s="15"/>
    </row>
    <row r="941" spans="3:6" s="3" customFormat="1" ht="14.25">
      <c r="C941" s="15"/>
      <c r="D941" s="15"/>
      <c r="E941" s="15"/>
      <c r="F941" s="15"/>
    </row>
    <row r="942" spans="3:6" s="3" customFormat="1" ht="14.25">
      <c r="C942" s="15"/>
      <c r="D942" s="15"/>
      <c r="E942" s="15"/>
      <c r="F942" s="15"/>
    </row>
    <row r="943" spans="3:6" s="3" customFormat="1" ht="14.25">
      <c r="C943" s="15"/>
      <c r="D943" s="15"/>
      <c r="E943" s="15"/>
      <c r="F943" s="15"/>
    </row>
    <row r="944" spans="3:6" s="3" customFormat="1" ht="14.25">
      <c r="C944" s="15"/>
      <c r="D944" s="15"/>
      <c r="E944" s="15"/>
      <c r="F944" s="15"/>
    </row>
    <row r="945" spans="3:6" s="3" customFormat="1" ht="14.25">
      <c r="C945" s="15"/>
      <c r="D945" s="15"/>
      <c r="E945" s="15"/>
      <c r="F945" s="15"/>
    </row>
    <row r="946" spans="3:6" s="3" customFormat="1" ht="14.25">
      <c r="C946" s="15"/>
      <c r="D946" s="15"/>
      <c r="E946" s="15"/>
      <c r="F946" s="15"/>
    </row>
    <row r="947" spans="3:6" s="3" customFormat="1" ht="14.25">
      <c r="C947" s="15"/>
      <c r="D947" s="15"/>
      <c r="E947" s="15"/>
      <c r="F947" s="15"/>
    </row>
    <row r="948" spans="3:6" s="3" customFormat="1" ht="14.25">
      <c r="C948" s="15"/>
      <c r="D948" s="15"/>
      <c r="E948" s="15"/>
      <c r="F948" s="15"/>
    </row>
    <row r="949" spans="3:6" s="3" customFormat="1" ht="14.25">
      <c r="C949" s="15"/>
      <c r="D949" s="15"/>
      <c r="E949" s="15"/>
      <c r="F949" s="15"/>
    </row>
    <row r="950" spans="3:6" s="3" customFormat="1" ht="14.25">
      <c r="C950" s="15"/>
      <c r="D950" s="15"/>
      <c r="E950" s="15"/>
      <c r="F950" s="15"/>
    </row>
    <row r="951" spans="3:6" s="3" customFormat="1" ht="14.25">
      <c r="C951" s="15"/>
      <c r="D951" s="15"/>
      <c r="E951" s="15"/>
      <c r="F951" s="15"/>
    </row>
    <row r="952" spans="3:6" s="3" customFormat="1" ht="14.25">
      <c r="C952" s="15"/>
      <c r="D952" s="15"/>
      <c r="E952" s="15"/>
      <c r="F952" s="15"/>
    </row>
    <row r="953" spans="3:6" s="3" customFormat="1" ht="14.25">
      <c r="C953" s="15"/>
      <c r="D953" s="15"/>
      <c r="E953" s="15"/>
      <c r="F953" s="15"/>
    </row>
    <row r="954" spans="3:6" s="3" customFormat="1" ht="14.25">
      <c r="C954" s="15"/>
      <c r="D954" s="15"/>
      <c r="E954" s="15"/>
      <c r="F954" s="15"/>
    </row>
    <row r="955" spans="3:6" s="3" customFormat="1" ht="14.25">
      <c r="C955" s="15"/>
      <c r="D955" s="15"/>
      <c r="E955" s="15"/>
      <c r="F955" s="15"/>
    </row>
    <row r="956" spans="3:6" s="3" customFormat="1" ht="14.25">
      <c r="C956" s="15"/>
      <c r="D956" s="15"/>
      <c r="E956" s="15"/>
      <c r="F956" s="15"/>
    </row>
    <row r="957" spans="3:6" s="3" customFormat="1" ht="14.25">
      <c r="C957" s="15"/>
      <c r="D957" s="15"/>
      <c r="E957" s="15"/>
      <c r="F957" s="15"/>
    </row>
    <row r="958" spans="3:6" s="3" customFormat="1" ht="14.25">
      <c r="C958" s="15"/>
      <c r="D958" s="15"/>
      <c r="E958" s="15"/>
      <c r="F958" s="15"/>
    </row>
    <row r="959" spans="3:6" s="3" customFormat="1" ht="14.25">
      <c r="C959" s="15"/>
      <c r="D959" s="15"/>
      <c r="E959" s="15"/>
      <c r="F959" s="15"/>
    </row>
    <row r="960" spans="3:6" s="3" customFormat="1" ht="14.25">
      <c r="C960" s="15"/>
      <c r="D960" s="15"/>
      <c r="E960" s="15"/>
      <c r="F960" s="15"/>
    </row>
    <row r="961" spans="3:6" s="3" customFormat="1" ht="14.25">
      <c r="C961" s="15"/>
      <c r="D961" s="15"/>
      <c r="E961" s="15"/>
      <c r="F961" s="15"/>
    </row>
    <row r="962" spans="3:6" s="3" customFormat="1" ht="14.25">
      <c r="C962" s="15"/>
      <c r="D962" s="15"/>
      <c r="E962" s="15"/>
      <c r="F962" s="15"/>
    </row>
    <row r="963" spans="3:6" s="3" customFormat="1" ht="14.25">
      <c r="C963" s="15"/>
      <c r="D963" s="15"/>
      <c r="E963" s="15"/>
      <c r="F963" s="15"/>
    </row>
    <row r="964" spans="3:6" s="3" customFormat="1" ht="14.25">
      <c r="C964" s="15"/>
      <c r="D964" s="15"/>
      <c r="E964" s="15"/>
      <c r="F964" s="15"/>
    </row>
    <row r="965" spans="3:6" s="3" customFormat="1" ht="14.25">
      <c r="C965" s="15"/>
      <c r="D965" s="15"/>
      <c r="E965" s="15"/>
      <c r="F965" s="15"/>
    </row>
    <row r="966" spans="3:6" s="3" customFormat="1" ht="14.25">
      <c r="C966" s="15"/>
      <c r="D966" s="15"/>
      <c r="E966" s="15"/>
      <c r="F966" s="15"/>
    </row>
    <row r="967" spans="3:6" s="3" customFormat="1" ht="14.25">
      <c r="C967" s="15"/>
      <c r="D967" s="15"/>
      <c r="E967" s="15"/>
      <c r="F967" s="15"/>
    </row>
    <row r="968" spans="3:6" s="3" customFormat="1" ht="14.25">
      <c r="C968" s="15"/>
      <c r="D968" s="15"/>
      <c r="E968" s="15"/>
      <c r="F968" s="15"/>
    </row>
    <row r="969" spans="3:6" s="3" customFormat="1" ht="14.25">
      <c r="C969" s="15"/>
      <c r="D969" s="15"/>
      <c r="E969" s="15"/>
      <c r="F969" s="15"/>
    </row>
    <row r="970" spans="3:6" s="3" customFormat="1" ht="14.25">
      <c r="C970" s="15"/>
      <c r="D970" s="15"/>
      <c r="E970" s="15"/>
      <c r="F970" s="15"/>
    </row>
    <row r="971" spans="3:6" s="3" customFormat="1" ht="14.25">
      <c r="C971" s="15"/>
      <c r="D971" s="15"/>
      <c r="E971" s="15"/>
      <c r="F971" s="15"/>
    </row>
    <row r="972" spans="3:6" s="3" customFormat="1" ht="14.25">
      <c r="C972" s="15"/>
      <c r="D972" s="15"/>
      <c r="E972" s="15"/>
      <c r="F972" s="15"/>
    </row>
    <row r="973" spans="3:6" s="3" customFormat="1" ht="14.25">
      <c r="C973" s="15"/>
      <c r="D973" s="15"/>
      <c r="E973" s="15"/>
      <c r="F973" s="15"/>
    </row>
    <row r="974" spans="3:6" s="3" customFormat="1" ht="14.25">
      <c r="C974" s="15"/>
      <c r="D974" s="15"/>
      <c r="E974" s="15"/>
      <c r="F974" s="15"/>
    </row>
    <row r="975" spans="3:6" s="3" customFormat="1" ht="14.25">
      <c r="C975" s="15"/>
      <c r="D975" s="15"/>
      <c r="E975" s="15"/>
      <c r="F975" s="15"/>
    </row>
    <row r="976" spans="3:6" s="3" customFormat="1" ht="14.25">
      <c r="C976" s="15"/>
      <c r="D976" s="15"/>
      <c r="E976" s="15"/>
      <c r="F976" s="15"/>
    </row>
    <row r="977" spans="3:6" s="3" customFormat="1" ht="14.25">
      <c r="C977" s="15"/>
      <c r="D977" s="15"/>
      <c r="E977" s="15"/>
      <c r="F977" s="15"/>
    </row>
    <row r="978" spans="3:6" s="3" customFormat="1" ht="14.25">
      <c r="C978" s="15"/>
      <c r="D978" s="15"/>
      <c r="E978" s="15"/>
      <c r="F978" s="15"/>
    </row>
    <row r="979" spans="3:6" s="3" customFormat="1" ht="14.25">
      <c r="C979" s="15"/>
      <c r="D979" s="15"/>
      <c r="E979" s="15"/>
      <c r="F979" s="15"/>
    </row>
    <row r="980" spans="3:6" s="3" customFormat="1" ht="14.25">
      <c r="C980" s="15"/>
      <c r="D980" s="15"/>
      <c r="E980" s="15"/>
      <c r="F980" s="15"/>
    </row>
    <row r="981" spans="3:6" s="3" customFormat="1" ht="14.25">
      <c r="C981" s="15"/>
      <c r="D981" s="15"/>
      <c r="E981" s="15"/>
      <c r="F981" s="15"/>
    </row>
    <row r="982" spans="3:6" s="3" customFormat="1" ht="14.25">
      <c r="C982" s="15"/>
      <c r="D982" s="15"/>
      <c r="E982" s="15"/>
      <c r="F982" s="15"/>
    </row>
    <row r="983" spans="3:6" s="3" customFormat="1" ht="14.25">
      <c r="C983" s="15"/>
      <c r="D983" s="15"/>
      <c r="E983" s="15"/>
      <c r="F983" s="15"/>
    </row>
    <row r="984" spans="3:6" s="3" customFormat="1" ht="14.25">
      <c r="C984" s="15"/>
      <c r="D984" s="15"/>
      <c r="E984" s="15"/>
      <c r="F984" s="15"/>
    </row>
    <row r="985" spans="3:6" s="3" customFormat="1" ht="14.25">
      <c r="C985" s="15"/>
      <c r="D985" s="15"/>
      <c r="E985" s="15"/>
      <c r="F985" s="15"/>
    </row>
    <row r="986" spans="3:6" s="3" customFormat="1" ht="14.25">
      <c r="C986" s="15"/>
      <c r="D986" s="15"/>
      <c r="E986" s="15"/>
      <c r="F986" s="15"/>
    </row>
    <row r="987" spans="3:6" s="3" customFormat="1" ht="14.25">
      <c r="C987" s="15"/>
      <c r="D987" s="15"/>
      <c r="E987" s="15"/>
      <c r="F987" s="15"/>
    </row>
    <row r="988" spans="3:6" s="3" customFormat="1" ht="14.25">
      <c r="C988" s="15"/>
      <c r="D988" s="15"/>
      <c r="E988" s="15"/>
      <c r="F988" s="15"/>
    </row>
    <row r="989" spans="3:6" s="3" customFormat="1" ht="14.25">
      <c r="C989" s="15"/>
      <c r="D989" s="15"/>
      <c r="E989" s="15"/>
      <c r="F989" s="15"/>
    </row>
    <row r="990" spans="3:6" s="3" customFormat="1" ht="14.25">
      <c r="C990" s="15"/>
      <c r="D990" s="15"/>
      <c r="E990" s="15"/>
      <c r="F990" s="15"/>
    </row>
    <row r="991" spans="3:6" s="3" customFormat="1" ht="14.25">
      <c r="C991" s="15"/>
      <c r="D991" s="15"/>
      <c r="E991" s="15"/>
      <c r="F991" s="15"/>
    </row>
    <row r="992" spans="3:6" s="3" customFormat="1" ht="14.25">
      <c r="C992" s="15"/>
      <c r="D992" s="15"/>
      <c r="E992" s="15"/>
      <c r="F992" s="15"/>
    </row>
    <row r="993" spans="3:6" s="3" customFormat="1" ht="14.25">
      <c r="C993" s="15"/>
      <c r="D993" s="15"/>
      <c r="E993" s="15"/>
      <c r="F993" s="15"/>
    </row>
    <row r="994" spans="3:6" s="3" customFormat="1" ht="14.25">
      <c r="C994" s="15"/>
      <c r="D994" s="15"/>
      <c r="E994" s="15"/>
      <c r="F994" s="15"/>
    </row>
    <row r="995" spans="3:6" s="3" customFormat="1" ht="14.25">
      <c r="C995" s="15"/>
      <c r="D995" s="15"/>
      <c r="E995" s="15"/>
      <c r="F995" s="15"/>
    </row>
    <row r="996" spans="3:6" s="3" customFormat="1" ht="14.25">
      <c r="C996" s="15"/>
      <c r="D996" s="15"/>
      <c r="E996" s="15"/>
      <c r="F996" s="15"/>
    </row>
    <row r="997" spans="3:6" s="3" customFormat="1" ht="14.25">
      <c r="C997" s="15"/>
      <c r="D997" s="15"/>
      <c r="E997" s="15"/>
      <c r="F997" s="15"/>
    </row>
    <row r="998" spans="3:6" s="3" customFormat="1" ht="14.25">
      <c r="C998" s="15"/>
      <c r="D998" s="15"/>
      <c r="E998" s="15"/>
      <c r="F998" s="15"/>
    </row>
    <row r="999" spans="3:6" s="3" customFormat="1" ht="14.25">
      <c r="C999" s="15"/>
      <c r="D999" s="15"/>
      <c r="E999" s="15"/>
      <c r="F999" s="15"/>
    </row>
    <row r="1000" spans="3:6" s="3" customFormat="1" ht="14.25">
      <c r="C1000" s="15"/>
      <c r="D1000" s="15"/>
      <c r="E1000" s="15"/>
      <c r="F1000" s="15"/>
    </row>
    <row r="1001" spans="3:6" s="3" customFormat="1" ht="14.25">
      <c r="C1001" s="15"/>
      <c r="D1001" s="15"/>
      <c r="E1001" s="15"/>
      <c r="F1001" s="15"/>
    </row>
    <row r="1002" spans="3:6" s="3" customFormat="1" ht="14.25">
      <c r="C1002" s="15"/>
      <c r="D1002" s="15"/>
      <c r="E1002" s="15"/>
      <c r="F1002" s="15"/>
    </row>
    <row r="1003" spans="3:6" s="3" customFormat="1" ht="14.25">
      <c r="C1003" s="15"/>
      <c r="D1003" s="15"/>
      <c r="E1003" s="15"/>
      <c r="F1003" s="15"/>
    </row>
    <row r="1004" spans="3:6" s="3" customFormat="1" ht="14.25">
      <c r="C1004" s="15"/>
      <c r="D1004" s="15"/>
      <c r="E1004" s="15"/>
      <c r="F1004" s="15"/>
    </row>
    <row r="1005" spans="3:6" s="3" customFormat="1" ht="14.25">
      <c r="C1005" s="15"/>
      <c r="D1005" s="15"/>
      <c r="E1005" s="15"/>
      <c r="F1005" s="15"/>
    </row>
    <row r="1006" spans="3:6" s="3" customFormat="1" ht="14.25">
      <c r="C1006" s="15"/>
      <c r="D1006" s="15"/>
      <c r="E1006" s="15"/>
      <c r="F1006" s="15"/>
    </row>
    <row r="1007" spans="3:6" s="3" customFormat="1" ht="14.25">
      <c r="C1007" s="15"/>
      <c r="D1007" s="15"/>
      <c r="E1007" s="15"/>
      <c r="F1007" s="15"/>
    </row>
    <row r="1008" spans="3:6" s="3" customFormat="1" ht="14.25">
      <c r="C1008" s="15"/>
      <c r="D1008" s="15"/>
      <c r="E1008" s="15"/>
      <c r="F1008" s="15"/>
    </row>
    <row r="1009" spans="3:6" s="3" customFormat="1" ht="14.25">
      <c r="C1009" s="15"/>
      <c r="D1009" s="15"/>
      <c r="E1009" s="15"/>
      <c r="F1009" s="15"/>
    </row>
    <row r="1010" spans="3:6" s="3" customFormat="1" ht="14.25">
      <c r="C1010" s="15"/>
      <c r="D1010" s="15"/>
      <c r="E1010" s="15"/>
      <c r="F1010" s="15"/>
    </row>
    <row r="1011" spans="3:6" s="3" customFormat="1" ht="14.25">
      <c r="C1011" s="15"/>
      <c r="D1011" s="15"/>
      <c r="E1011" s="15"/>
      <c r="F1011" s="15"/>
    </row>
    <row r="1012" spans="3:6" s="3" customFormat="1" ht="14.25">
      <c r="C1012" s="15"/>
      <c r="D1012" s="15"/>
      <c r="E1012" s="15"/>
      <c r="F1012" s="15"/>
    </row>
    <row r="1013" spans="3:6" s="3" customFormat="1" ht="14.25">
      <c r="C1013" s="15"/>
      <c r="D1013" s="15"/>
      <c r="E1013" s="15"/>
      <c r="F1013" s="15"/>
    </row>
    <row r="1014" spans="3:6" s="3" customFormat="1" ht="14.25">
      <c r="C1014" s="15"/>
      <c r="D1014" s="15"/>
      <c r="E1014" s="15"/>
      <c r="F1014" s="15"/>
    </row>
    <row r="1015" spans="3:6" s="3" customFormat="1" ht="14.25">
      <c r="C1015" s="15"/>
      <c r="D1015" s="15"/>
      <c r="E1015" s="15"/>
      <c r="F1015" s="15"/>
    </row>
    <row r="1016" spans="3:6" s="3" customFormat="1" ht="14.25">
      <c r="C1016" s="15"/>
      <c r="D1016" s="15"/>
      <c r="E1016" s="15"/>
      <c r="F1016" s="15"/>
    </row>
    <row r="1017" spans="3:6" s="3" customFormat="1" ht="14.25">
      <c r="C1017" s="15"/>
      <c r="D1017" s="15"/>
      <c r="E1017" s="15"/>
      <c r="F1017" s="15"/>
    </row>
    <row r="1018" spans="3:6" s="3" customFormat="1" ht="14.25">
      <c r="C1018" s="15"/>
      <c r="D1018" s="15"/>
      <c r="E1018" s="15"/>
      <c r="F1018" s="15"/>
    </row>
    <row r="1019" spans="3:6" s="3" customFormat="1" ht="14.25">
      <c r="C1019" s="15"/>
      <c r="D1019" s="15"/>
      <c r="E1019" s="15"/>
      <c r="F1019" s="15"/>
    </row>
    <row r="1020" spans="3:6" s="3" customFormat="1" ht="14.25">
      <c r="C1020" s="15"/>
      <c r="D1020" s="15"/>
      <c r="E1020" s="15"/>
      <c r="F1020" s="15"/>
    </row>
    <row r="1021" spans="3:6" s="3" customFormat="1" ht="14.25">
      <c r="C1021" s="15"/>
      <c r="D1021" s="15"/>
      <c r="E1021" s="15"/>
      <c r="F1021" s="15"/>
    </row>
    <row r="1022" spans="3:6" s="3" customFormat="1" ht="14.25">
      <c r="C1022" s="15"/>
      <c r="D1022" s="15"/>
      <c r="E1022" s="15"/>
      <c r="F1022" s="15"/>
    </row>
    <row r="1023" spans="3:6" s="3" customFormat="1" ht="14.25">
      <c r="C1023" s="15"/>
      <c r="D1023" s="15"/>
      <c r="E1023" s="15"/>
      <c r="F1023" s="15"/>
    </row>
    <row r="1024" spans="3:6" s="3" customFormat="1" ht="14.25">
      <c r="C1024" s="15"/>
      <c r="D1024" s="15"/>
      <c r="E1024" s="15"/>
      <c r="F1024" s="15"/>
    </row>
    <row r="1025" spans="3:6" s="3" customFormat="1" ht="14.25">
      <c r="C1025" s="15"/>
      <c r="D1025" s="15"/>
      <c r="E1025" s="15"/>
      <c r="F1025" s="15"/>
    </row>
    <row r="1026" spans="3:6" s="3" customFormat="1" ht="14.25">
      <c r="C1026" s="15"/>
      <c r="D1026" s="15"/>
      <c r="E1026" s="15"/>
      <c r="F1026" s="15"/>
    </row>
    <row r="1027" spans="3:6" s="3" customFormat="1" ht="14.25">
      <c r="C1027" s="15"/>
      <c r="D1027" s="15"/>
      <c r="E1027" s="15"/>
      <c r="F1027" s="15"/>
    </row>
    <row r="1028" spans="3:6" s="3" customFormat="1" ht="14.25">
      <c r="C1028" s="15"/>
      <c r="D1028" s="15"/>
      <c r="E1028" s="15"/>
      <c r="F1028" s="15"/>
    </row>
    <row r="1029" spans="3:6" s="3" customFormat="1" ht="14.25">
      <c r="C1029" s="15"/>
      <c r="D1029" s="15"/>
      <c r="E1029" s="15"/>
      <c r="F1029" s="15"/>
    </row>
    <row r="1030" spans="3:6" s="3" customFormat="1" ht="14.25">
      <c r="C1030" s="15"/>
      <c r="D1030" s="15"/>
      <c r="E1030" s="15"/>
      <c r="F1030" s="15"/>
    </row>
    <row r="1031" spans="3:6" s="3" customFormat="1" ht="14.25">
      <c r="C1031" s="15"/>
      <c r="D1031" s="15"/>
      <c r="E1031" s="15"/>
      <c r="F1031" s="15"/>
    </row>
    <row r="1032" spans="3:6" s="3" customFormat="1" ht="14.25">
      <c r="C1032" s="15"/>
      <c r="D1032" s="15"/>
      <c r="E1032" s="15"/>
      <c r="F1032" s="15"/>
    </row>
    <row r="1033" spans="3:6" s="3" customFormat="1" ht="14.25">
      <c r="C1033" s="15"/>
      <c r="D1033" s="15"/>
      <c r="E1033" s="15"/>
      <c r="F1033" s="15"/>
    </row>
    <row r="1034" spans="3:6" s="3" customFormat="1" ht="14.25">
      <c r="C1034" s="15"/>
      <c r="D1034" s="15"/>
      <c r="E1034" s="15"/>
      <c r="F1034" s="15"/>
    </row>
    <row r="1035" spans="3:6" s="3" customFormat="1" ht="14.25">
      <c r="C1035" s="15"/>
      <c r="D1035" s="15"/>
      <c r="E1035" s="15"/>
      <c r="F1035" s="15"/>
    </row>
    <row r="1036" spans="3:6" s="3" customFormat="1" ht="14.25">
      <c r="C1036" s="15"/>
      <c r="D1036" s="15"/>
      <c r="E1036" s="15"/>
      <c r="F1036" s="15"/>
    </row>
    <row r="1037" spans="3:6" s="3" customFormat="1" ht="14.25">
      <c r="C1037" s="15"/>
      <c r="D1037" s="15"/>
      <c r="E1037" s="15"/>
      <c r="F1037" s="15"/>
    </row>
    <row r="1038" spans="3:6" s="3" customFormat="1" ht="14.25">
      <c r="C1038" s="15"/>
      <c r="D1038" s="15"/>
      <c r="E1038" s="15"/>
      <c r="F1038" s="15"/>
    </row>
    <row r="1039" spans="3:6" s="3" customFormat="1" ht="14.25">
      <c r="C1039" s="15"/>
      <c r="D1039" s="15"/>
      <c r="E1039" s="15"/>
      <c r="F1039" s="15"/>
    </row>
    <row r="1040" spans="3:6" s="3" customFormat="1" ht="14.25">
      <c r="C1040" s="15"/>
      <c r="D1040" s="15"/>
      <c r="E1040" s="15"/>
      <c r="F1040" s="15"/>
    </row>
    <row r="1041" spans="3:6" s="3" customFormat="1" ht="14.25">
      <c r="C1041" s="15"/>
      <c r="D1041" s="15"/>
      <c r="E1041" s="15"/>
      <c r="F1041" s="15"/>
    </row>
    <row r="1042" spans="3:6" s="3" customFormat="1" ht="14.25">
      <c r="C1042" s="15"/>
      <c r="D1042" s="15"/>
      <c r="E1042" s="15"/>
      <c r="F1042" s="15"/>
    </row>
    <row r="1043" spans="3:6" s="3" customFormat="1" ht="14.25">
      <c r="C1043" s="15"/>
      <c r="D1043" s="15"/>
      <c r="E1043" s="15"/>
      <c r="F1043" s="15"/>
    </row>
    <row r="1044" spans="3:6" s="3" customFormat="1" ht="14.25">
      <c r="C1044" s="15"/>
      <c r="D1044" s="15"/>
      <c r="E1044" s="15"/>
      <c r="F1044" s="15"/>
    </row>
    <row r="1045" spans="3:6" s="3" customFormat="1" ht="14.25">
      <c r="C1045" s="15"/>
      <c r="D1045" s="15"/>
      <c r="E1045" s="15"/>
      <c r="F1045" s="15"/>
    </row>
    <row r="1046" spans="3:6" s="3" customFormat="1" ht="14.25">
      <c r="C1046" s="15"/>
      <c r="D1046" s="15"/>
      <c r="E1046" s="15"/>
      <c r="F1046" s="15"/>
    </row>
    <row r="1047" spans="3:6" s="3" customFormat="1" ht="14.25">
      <c r="C1047" s="15"/>
      <c r="D1047" s="15"/>
      <c r="E1047" s="15"/>
      <c r="F1047" s="15"/>
    </row>
    <row r="1048" spans="3:6" s="3" customFormat="1" ht="14.25">
      <c r="C1048" s="15"/>
      <c r="D1048" s="15"/>
      <c r="E1048" s="15"/>
      <c r="F1048" s="15"/>
    </row>
    <row r="1049" spans="3:6" s="3" customFormat="1" ht="14.25">
      <c r="C1049" s="15"/>
      <c r="D1049" s="15"/>
      <c r="E1049" s="15"/>
      <c r="F1049" s="15"/>
    </row>
    <row r="1050" spans="3:6" s="3" customFormat="1" ht="14.25">
      <c r="C1050" s="15"/>
      <c r="D1050" s="15"/>
      <c r="E1050" s="15"/>
      <c r="F1050" s="15"/>
    </row>
    <row r="1051" spans="3:6" s="3" customFormat="1" ht="14.25">
      <c r="C1051" s="15"/>
      <c r="D1051" s="15"/>
      <c r="E1051" s="15"/>
      <c r="F1051" s="15"/>
    </row>
    <row r="1052" spans="3:6" s="3" customFormat="1" ht="14.25">
      <c r="C1052" s="15"/>
      <c r="D1052" s="15"/>
      <c r="E1052" s="15"/>
      <c r="F1052" s="15"/>
    </row>
    <row r="1053" spans="3:6" s="3" customFormat="1" ht="14.25">
      <c r="C1053" s="15"/>
      <c r="D1053" s="15"/>
      <c r="E1053" s="15"/>
      <c r="F1053" s="15"/>
    </row>
    <row r="1054" spans="3:6" s="3" customFormat="1" ht="14.25">
      <c r="C1054" s="15"/>
      <c r="D1054" s="15"/>
      <c r="E1054" s="15"/>
      <c r="F1054" s="15"/>
    </row>
    <row r="1055" spans="3:6" s="3" customFormat="1" ht="14.25">
      <c r="C1055" s="15"/>
      <c r="D1055" s="15"/>
      <c r="E1055" s="15"/>
      <c r="F1055" s="15"/>
    </row>
    <row r="1056" spans="3:6" s="3" customFormat="1" ht="14.25">
      <c r="C1056" s="15"/>
      <c r="D1056" s="15"/>
      <c r="E1056" s="15"/>
      <c r="F1056" s="15"/>
    </row>
    <row r="1057" spans="3:6" s="3" customFormat="1" ht="14.25">
      <c r="C1057" s="15"/>
      <c r="D1057" s="15"/>
      <c r="E1057" s="15"/>
      <c r="F1057" s="15"/>
    </row>
    <row r="1058" spans="3:6" s="3" customFormat="1" ht="14.25">
      <c r="C1058" s="15"/>
      <c r="D1058" s="15"/>
      <c r="E1058" s="15"/>
      <c r="F1058" s="15"/>
    </row>
    <row r="1059" spans="3:6" s="3" customFormat="1" ht="14.25">
      <c r="C1059" s="15"/>
      <c r="D1059" s="15"/>
      <c r="E1059" s="15"/>
      <c r="F1059" s="15"/>
    </row>
    <row r="1060" spans="3:6" s="3" customFormat="1" ht="14.25">
      <c r="C1060" s="15"/>
      <c r="D1060" s="15"/>
      <c r="E1060" s="15"/>
      <c r="F1060" s="15"/>
    </row>
    <row r="1061" spans="3:6" s="3" customFormat="1" ht="14.25">
      <c r="C1061" s="15"/>
      <c r="D1061" s="15"/>
      <c r="E1061" s="15"/>
      <c r="F1061" s="15"/>
    </row>
    <row r="1062" spans="3:6" s="3" customFormat="1" ht="14.25">
      <c r="C1062" s="15"/>
      <c r="D1062" s="15"/>
      <c r="E1062" s="15"/>
      <c r="F1062" s="15"/>
    </row>
    <row r="1063" spans="3:6" s="3" customFormat="1" ht="14.25">
      <c r="C1063" s="15"/>
      <c r="D1063" s="15"/>
      <c r="E1063" s="15"/>
      <c r="F1063" s="15"/>
    </row>
    <row r="1064" spans="3:6" s="3" customFormat="1" ht="14.25">
      <c r="C1064" s="15"/>
      <c r="D1064" s="15"/>
      <c r="E1064" s="15"/>
      <c r="F1064" s="15"/>
    </row>
    <row r="1065" spans="3:6" s="3" customFormat="1" ht="14.25">
      <c r="C1065" s="15"/>
      <c r="D1065" s="15"/>
      <c r="E1065" s="15"/>
      <c r="F1065" s="15"/>
    </row>
    <row r="1066" spans="3:6" s="3" customFormat="1" ht="14.25">
      <c r="C1066" s="15"/>
      <c r="D1066" s="15"/>
      <c r="E1066" s="15"/>
      <c r="F1066" s="15"/>
    </row>
    <row r="1067" spans="3:6" s="3" customFormat="1" ht="14.25">
      <c r="C1067" s="15"/>
      <c r="D1067" s="15"/>
      <c r="E1067" s="15"/>
      <c r="F1067" s="15"/>
    </row>
    <row r="1068" spans="3:6" s="3" customFormat="1" ht="14.25">
      <c r="C1068" s="15"/>
      <c r="D1068" s="15"/>
      <c r="E1068" s="15"/>
      <c r="F1068" s="15"/>
    </row>
    <row r="1069" spans="3:6" s="3" customFormat="1" ht="14.25">
      <c r="C1069" s="15"/>
      <c r="D1069" s="15"/>
      <c r="E1069" s="15"/>
      <c r="F1069" s="15"/>
    </row>
    <row r="1070" spans="3:6" s="3" customFormat="1" ht="14.25">
      <c r="C1070" s="15"/>
      <c r="D1070" s="15"/>
      <c r="E1070" s="15"/>
      <c r="F1070" s="15"/>
    </row>
    <row r="1071" spans="3:6" s="3" customFormat="1" ht="14.25">
      <c r="C1071" s="15"/>
      <c r="D1071" s="15"/>
      <c r="E1071" s="15"/>
      <c r="F1071" s="15"/>
    </row>
    <row r="1072" spans="3:6" s="3" customFormat="1" ht="14.25">
      <c r="C1072" s="15"/>
      <c r="D1072" s="15"/>
      <c r="E1072" s="15"/>
      <c r="F1072" s="15"/>
    </row>
    <row r="1073" spans="3:6" s="3" customFormat="1" ht="14.25">
      <c r="C1073" s="15"/>
      <c r="D1073" s="15"/>
      <c r="E1073" s="15"/>
      <c r="F1073" s="15"/>
    </row>
    <row r="1074" spans="3:6" s="3" customFormat="1" ht="14.25">
      <c r="C1074" s="15"/>
      <c r="D1074" s="15"/>
      <c r="E1074" s="15"/>
      <c r="F1074" s="15"/>
    </row>
    <row r="1075" spans="3:6" s="3" customFormat="1" ht="14.25">
      <c r="C1075" s="15"/>
      <c r="D1075" s="15"/>
      <c r="E1075" s="15"/>
      <c r="F1075" s="15"/>
    </row>
    <row r="1076" spans="3:6" s="3" customFormat="1" ht="14.25">
      <c r="C1076" s="15"/>
      <c r="D1076" s="15"/>
      <c r="E1076" s="15"/>
      <c r="F1076" s="15"/>
    </row>
    <row r="1077" spans="3:6" s="3" customFormat="1" ht="14.25">
      <c r="C1077" s="15"/>
      <c r="D1077" s="15"/>
      <c r="E1077" s="15"/>
      <c r="F1077" s="15"/>
    </row>
    <row r="1078" spans="3:6" s="3" customFormat="1" ht="14.25">
      <c r="C1078" s="15"/>
      <c r="D1078" s="15"/>
      <c r="E1078" s="15"/>
      <c r="F1078" s="15"/>
    </row>
    <row r="1079" spans="3:6" s="3" customFormat="1" ht="14.25">
      <c r="C1079" s="15"/>
      <c r="D1079" s="15"/>
      <c r="E1079" s="15"/>
      <c r="F1079" s="15"/>
    </row>
    <row r="1080" spans="3:6" s="3" customFormat="1" ht="14.25">
      <c r="C1080" s="15"/>
      <c r="D1080" s="15"/>
      <c r="E1080" s="15"/>
      <c r="F1080" s="15"/>
    </row>
    <row r="1081" spans="3:6" s="3" customFormat="1" ht="14.25">
      <c r="C1081" s="15"/>
      <c r="D1081" s="15"/>
      <c r="E1081" s="15"/>
      <c r="F1081" s="15"/>
    </row>
    <row r="1082" spans="3:6" s="3" customFormat="1" ht="14.25">
      <c r="C1082" s="15"/>
      <c r="D1082" s="15"/>
      <c r="E1082" s="15"/>
      <c r="F1082" s="15"/>
    </row>
    <row r="1083" spans="3:6" s="3" customFormat="1" ht="14.25">
      <c r="C1083" s="15"/>
      <c r="D1083" s="15"/>
      <c r="E1083" s="15"/>
      <c r="F1083" s="15"/>
    </row>
    <row r="1084" spans="3:6" s="3" customFormat="1" ht="14.25">
      <c r="C1084" s="15"/>
      <c r="D1084" s="15"/>
      <c r="E1084" s="15"/>
      <c r="F1084" s="15"/>
    </row>
    <row r="1085" spans="3:6" s="3" customFormat="1" ht="14.25">
      <c r="C1085" s="15"/>
      <c r="D1085" s="15"/>
      <c r="E1085" s="15"/>
      <c r="F1085" s="15"/>
    </row>
    <row r="1086" spans="3:6" s="3" customFormat="1" ht="14.25">
      <c r="C1086" s="15"/>
      <c r="D1086" s="15"/>
      <c r="E1086" s="15"/>
      <c r="F1086" s="15"/>
    </row>
    <row r="1087" spans="3:6" s="3" customFormat="1" ht="14.25">
      <c r="C1087" s="15"/>
      <c r="D1087" s="15"/>
      <c r="E1087" s="15"/>
      <c r="F1087" s="15"/>
    </row>
    <row r="1088" spans="3:6" s="3" customFormat="1" ht="14.25">
      <c r="C1088" s="15"/>
      <c r="D1088" s="15"/>
      <c r="E1088" s="15"/>
      <c r="F1088" s="15"/>
    </row>
    <row r="1089" spans="3:6" s="3" customFormat="1" ht="14.25">
      <c r="C1089" s="15"/>
      <c r="D1089" s="15"/>
      <c r="E1089" s="15"/>
      <c r="F1089" s="15"/>
    </row>
    <row r="1090" spans="3:6" s="3" customFormat="1" ht="14.25">
      <c r="C1090" s="15"/>
      <c r="D1090" s="15"/>
      <c r="E1090" s="15"/>
      <c r="F1090" s="15"/>
    </row>
    <row r="1091" spans="3:6" s="3" customFormat="1" ht="14.25">
      <c r="C1091" s="15"/>
      <c r="D1091" s="15"/>
      <c r="E1091" s="15"/>
      <c r="F1091" s="15"/>
    </row>
    <row r="1092" spans="3:6" s="3" customFormat="1" ht="14.25">
      <c r="C1092" s="15"/>
      <c r="D1092" s="15"/>
      <c r="E1092" s="15"/>
      <c r="F1092" s="15"/>
    </row>
    <row r="1093" spans="3:6" s="3" customFormat="1" ht="14.25">
      <c r="C1093" s="15"/>
      <c r="D1093" s="15"/>
      <c r="E1093" s="15"/>
      <c r="F1093" s="15"/>
    </row>
    <row r="1094" spans="3:6" s="3" customFormat="1" ht="14.25">
      <c r="C1094" s="15"/>
      <c r="D1094" s="15"/>
      <c r="E1094" s="15"/>
      <c r="F1094" s="15"/>
    </row>
    <row r="1095" spans="3:6" s="3" customFormat="1" ht="14.25">
      <c r="C1095" s="15"/>
      <c r="D1095" s="15"/>
      <c r="E1095" s="15"/>
      <c r="F1095" s="15"/>
    </row>
    <row r="1096" spans="3:6" s="3" customFormat="1" ht="14.25">
      <c r="C1096" s="15"/>
      <c r="D1096" s="15"/>
      <c r="E1096" s="15"/>
      <c r="F1096" s="15"/>
    </row>
    <row r="1097" spans="3:6" s="3" customFormat="1" ht="14.25">
      <c r="C1097" s="15"/>
      <c r="D1097" s="15"/>
      <c r="E1097" s="15"/>
      <c r="F1097" s="15"/>
    </row>
    <row r="1098" spans="3:6" s="3" customFormat="1" ht="14.25">
      <c r="C1098" s="15"/>
      <c r="D1098" s="15"/>
      <c r="E1098" s="15"/>
      <c r="F1098" s="15"/>
    </row>
    <row r="1099" spans="3:6" s="3" customFormat="1" ht="14.25">
      <c r="C1099" s="15"/>
      <c r="D1099" s="15"/>
      <c r="E1099" s="15"/>
      <c r="F1099" s="15"/>
    </row>
    <row r="1100" spans="3:6" s="3" customFormat="1" ht="14.25">
      <c r="C1100" s="15"/>
      <c r="D1100" s="15"/>
      <c r="E1100" s="15"/>
      <c r="F1100" s="15"/>
    </row>
    <row r="1101" spans="3:6" s="3" customFormat="1" ht="14.25">
      <c r="C1101" s="15"/>
      <c r="D1101" s="15"/>
      <c r="E1101" s="15"/>
      <c r="F1101" s="15"/>
    </row>
    <row r="1102" spans="3:6" s="3" customFormat="1" ht="14.25">
      <c r="C1102" s="15"/>
      <c r="D1102" s="15"/>
      <c r="E1102" s="15"/>
      <c r="F1102" s="15"/>
    </row>
    <row r="1103" spans="3:6" s="3" customFormat="1" ht="14.25">
      <c r="C1103" s="15"/>
      <c r="D1103" s="15"/>
      <c r="E1103" s="15"/>
      <c r="F1103" s="15"/>
    </row>
    <row r="1104" spans="3:6" s="3" customFormat="1" ht="14.25">
      <c r="C1104" s="15"/>
      <c r="D1104" s="15"/>
      <c r="E1104" s="15"/>
      <c r="F1104" s="15"/>
    </row>
    <row r="1105" spans="3:6" s="3" customFormat="1" ht="14.25">
      <c r="C1105" s="15"/>
      <c r="D1105" s="15"/>
      <c r="E1105" s="15"/>
      <c r="F1105" s="15"/>
    </row>
    <row r="1106" spans="3:6" s="3" customFormat="1" ht="14.25">
      <c r="C1106" s="15"/>
      <c r="D1106" s="15"/>
      <c r="E1106" s="15"/>
      <c r="F1106" s="15"/>
    </row>
    <row r="1107" spans="3:6" s="3" customFormat="1" ht="14.25">
      <c r="C1107" s="15"/>
      <c r="D1107" s="15"/>
      <c r="E1107" s="15"/>
      <c r="F1107" s="15"/>
    </row>
  </sheetData>
  <hyperlinks>
    <hyperlink ref="C10" r:id="rId1"/>
  </hyperlinks>
  <pageMargins left="0.7" right="0.7" top="1.0458333333333301" bottom="1.0458333333333301" header="0.511811023622047" footer="0.511811023622047"/>
  <pageSetup paperSize="9" pageOrder="overThenDown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K7"/>
  <sheetViews>
    <sheetView tabSelected="1" zoomScaleNormal="100" workbookViewId="0">
      <selection activeCell="C24" sqref="C24"/>
    </sheetView>
  </sheetViews>
  <sheetFormatPr baseColWidth="10" defaultColWidth="8.7109375" defaultRowHeight="15"/>
  <cols>
    <col min="1" max="1" width="11.28515625" style="1" customWidth="1"/>
    <col min="2" max="3" width="15.28515625" style="1" customWidth="1"/>
    <col min="4" max="4" width="12.5703125" style="1" customWidth="1"/>
    <col min="5" max="5" width="11.5703125" style="1" customWidth="1"/>
    <col min="6" max="6" width="17.5703125" style="1" customWidth="1"/>
    <col min="7" max="11" width="8.140625" style="1" customWidth="1"/>
    <col min="12" max="12" width="9.85546875" style="1" customWidth="1"/>
    <col min="13" max="13" width="7" style="1" customWidth="1"/>
    <col min="14" max="16" width="8.28515625" style="1" customWidth="1"/>
    <col min="17" max="17" width="10.85546875" style="1" customWidth="1"/>
    <col min="18" max="19" width="6.7109375" style="1" customWidth="1"/>
    <col min="20" max="20" width="8.28515625" style="1" customWidth="1"/>
    <col min="21" max="21" width="13.140625" style="1" customWidth="1"/>
    <col min="22" max="22" width="8.28515625" style="1" customWidth="1"/>
    <col min="23" max="25" width="9" style="1" customWidth="1"/>
    <col min="26" max="28" width="12.7109375" style="1" customWidth="1"/>
    <col min="29" max="36" width="11.5703125" style="1" customWidth="1"/>
    <col min="37" max="37" width="13" style="1" customWidth="1"/>
    <col min="38" max="40" width="13.5703125" style="1" customWidth="1"/>
    <col min="41" max="43" width="9.42578125" style="1" customWidth="1"/>
    <col min="44" max="46" width="12.140625" style="1" customWidth="1"/>
    <col min="47" max="49" width="12.5703125" style="1" customWidth="1"/>
    <col min="50" max="52" width="15.28515625" style="1" customWidth="1"/>
    <col min="53" max="53" width="19.140625" style="1" customWidth="1"/>
    <col min="54" max="54" width="23.28515625" style="1" customWidth="1"/>
    <col min="55" max="55" width="15.140625" style="1" customWidth="1"/>
    <col min="56" max="59" width="11.5703125" style="1" customWidth="1"/>
    <col min="60" max="60" width="17.42578125" style="1" customWidth="1"/>
    <col min="61" max="61" width="14" style="1" customWidth="1"/>
    <col min="62" max="62" width="14.85546875" style="1" customWidth="1"/>
    <col min="63" max="63" width="11.5703125" style="1" customWidth="1"/>
    <col min="64" max="64" width="10.85546875" style="1" customWidth="1"/>
    <col min="65" max="66" width="17.5703125" style="1" customWidth="1"/>
    <col min="67" max="67" width="18.28515625" style="1" customWidth="1"/>
    <col min="68" max="69" width="11.140625" style="1" customWidth="1"/>
    <col min="70" max="71" width="14" style="1" customWidth="1"/>
    <col min="72" max="73" width="17.140625" style="1" customWidth="1"/>
    <col min="74" max="74" width="16.85546875" style="1" customWidth="1"/>
    <col min="75" max="76" width="20" style="1" customWidth="1"/>
    <col min="77" max="83" width="9.140625" style="1" customWidth="1"/>
    <col min="84" max="85" width="14.5703125" style="1" customWidth="1"/>
    <col min="86" max="88" width="12.7109375" style="1" customWidth="1"/>
    <col min="89" max="91" width="9.5703125" style="1" customWidth="1"/>
    <col min="92" max="94" width="19.85546875" style="1" customWidth="1"/>
    <col min="95" max="97" width="15.7109375" style="1" customWidth="1"/>
    <col min="98" max="100" width="13.7109375" style="1" customWidth="1"/>
    <col min="101" max="103" width="18.85546875" style="1" customWidth="1"/>
    <col min="104" max="1025" width="11.5703125" style="1" customWidth="1"/>
  </cols>
  <sheetData>
    <row r="1" spans="1:149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157</v>
      </c>
      <c r="W1" s="1" t="s">
        <v>158</v>
      </c>
      <c r="X1" s="1" t="s">
        <v>159</v>
      </c>
      <c r="Y1" s="1" t="s">
        <v>160</v>
      </c>
      <c r="Z1" s="1" t="s">
        <v>161</v>
      </c>
      <c r="AA1" s="1" t="s">
        <v>162</v>
      </c>
      <c r="AB1" s="1" t="s">
        <v>163</v>
      </c>
      <c r="AC1" s="1" t="s">
        <v>164</v>
      </c>
      <c r="AD1" s="1" t="s">
        <v>165</v>
      </c>
      <c r="AE1" s="1" t="s">
        <v>166</v>
      </c>
      <c r="AF1" s="1" t="s">
        <v>167</v>
      </c>
      <c r="AG1" s="1" t="s">
        <v>168</v>
      </c>
      <c r="AH1" s="1" t="s">
        <v>169</v>
      </c>
      <c r="AI1" s="1" t="s">
        <v>170</v>
      </c>
      <c r="AJ1" s="1" t="s">
        <v>171</v>
      </c>
      <c r="AK1" s="1" t="s">
        <v>172</v>
      </c>
      <c r="AL1" s="1" t="s">
        <v>173</v>
      </c>
      <c r="AM1" s="1" t="s">
        <v>174</v>
      </c>
      <c r="AN1" s="1" t="s">
        <v>175</v>
      </c>
      <c r="AO1" s="1" t="s">
        <v>176</v>
      </c>
      <c r="AP1" s="1" t="s">
        <v>177</v>
      </c>
      <c r="AQ1" s="1" t="s">
        <v>178</v>
      </c>
      <c r="AR1" s="1" t="s">
        <v>179</v>
      </c>
      <c r="AS1" s="1" t="s">
        <v>180</v>
      </c>
      <c r="AT1" s="1" t="s">
        <v>181</v>
      </c>
      <c r="AU1" s="1" t="s">
        <v>182</v>
      </c>
      <c r="AV1" s="1" t="s">
        <v>183</v>
      </c>
      <c r="AW1" s="1" t="s">
        <v>184</v>
      </c>
      <c r="AX1" s="1" t="s">
        <v>185</v>
      </c>
      <c r="AY1" s="1" t="s">
        <v>186</v>
      </c>
      <c r="AZ1" s="1" t="s">
        <v>187</v>
      </c>
      <c r="BA1" s="1" t="s">
        <v>188</v>
      </c>
      <c r="BB1" s="1" t="s">
        <v>189</v>
      </c>
      <c r="BC1" s="1" t="s">
        <v>190</v>
      </c>
      <c r="BD1" s="1" t="s">
        <v>191</v>
      </c>
      <c r="BE1" s="1" t="s">
        <v>192</v>
      </c>
      <c r="BF1" s="1" t="s">
        <v>193</v>
      </c>
      <c r="BG1" s="1" t="s">
        <v>194</v>
      </c>
      <c r="BH1" s="1" t="s">
        <v>195</v>
      </c>
      <c r="BI1" s="1" t="s">
        <v>196</v>
      </c>
      <c r="BJ1" s="1" t="s">
        <v>197</v>
      </c>
      <c r="BK1" s="1" t="s">
        <v>198</v>
      </c>
      <c r="BL1" s="1" t="s">
        <v>199</v>
      </c>
      <c r="BM1" s="1" t="s">
        <v>200</v>
      </c>
      <c r="BN1" s="1" t="s">
        <v>201</v>
      </c>
      <c r="BO1" s="1" t="s">
        <v>202</v>
      </c>
      <c r="BP1" s="1" t="s">
        <v>203</v>
      </c>
      <c r="BQ1" s="1" t="s">
        <v>204</v>
      </c>
      <c r="BR1" s="1" t="s">
        <v>205</v>
      </c>
      <c r="BS1" s="1" t="s">
        <v>206</v>
      </c>
      <c r="BT1" s="1" t="s">
        <v>207</v>
      </c>
      <c r="BU1" s="1" t="s">
        <v>208</v>
      </c>
      <c r="BV1" s="1" t="s">
        <v>209</v>
      </c>
      <c r="BW1" s="1" t="s">
        <v>210</v>
      </c>
      <c r="BX1" s="1" t="s">
        <v>211</v>
      </c>
      <c r="BY1" s="1" t="s">
        <v>212</v>
      </c>
      <c r="BZ1" s="1" t="s">
        <v>213</v>
      </c>
      <c r="CA1" s="1" t="s">
        <v>214</v>
      </c>
      <c r="CB1" s="1" t="s">
        <v>215</v>
      </c>
      <c r="CC1" s="1" t="s">
        <v>216</v>
      </c>
      <c r="CD1" s="1" t="s">
        <v>217</v>
      </c>
      <c r="CE1" s="1" t="s">
        <v>218</v>
      </c>
      <c r="CF1" s="1" t="s">
        <v>219</v>
      </c>
      <c r="CG1" s="1" t="s">
        <v>220</v>
      </c>
      <c r="CH1" s="1" t="s">
        <v>221</v>
      </c>
      <c r="CI1" s="1" t="s">
        <v>222</v>
      </c>
      <c r="CJ1" s="1" t="s">
        <v>223</v>
      </c>
      <c r="CK1" s="1" t="s">
        <v>224</v>
      </c>
      <c r="CL1" s="1" t="s">
        <v>225</v>
      </c>
      <c r="CM1" s="1" t="s">
        <v>226</v>
      </c>
      <c r="CN1" s="1" t="s">
        <v>227</v>
      </c>
      <c r="CO1" s="1" t="s">
        <v>228</v>
      </c>
      <c r="CP1" s="1" t="s">
        <v>229</v>
      </c>
      <c r="CQ1" s="1" t="s">
        <v>230</v>
      </c>
      <c r="CR1" s="1" t="s">
        <v>231</v>
      </c>
      <c r="CS1" s="1" t="s">
        <v>232</v>
      </c>
      <c r="CT1" s="1" t="s">
        <v>233</v>
      </c>
      <c r="CU1" s="1" t="s">
        <v>234</v>
      </c>
      <c r="CV1" s="1" t="s">
        <v>235</v>
      </c>
      <c r="CW1" s="1" t="s">
        <v>236</v>
      </c>
      <c r="CX1" s="1" t="s">
        <v>237</v>
      </c>
      <c r="CY1" s="1" t="s">
        <v>238</v>
      </c>
      <c r="CZ1" s="1" t="s">
        <v>199</v>
      </c>
      <c r="DA1" s="1" t="s">
        <v>239</v>
      </c>
      <c r="DB1" s="1" t="s">
        <v>240</v>
      </c>
      <c r="DC1" s="1" t="s">
        <v>241</v>
      </c>
      <c r="DD1" s="1" t="s">
        <v>242</v>
      </c>
      <c r="DE1" s="1" t="s">
        <v>243</v>
      </c>
      <c r="DF1" s="1" t="s">
        <v>244</v>
      </c>
      <c r="DG1" s="1" t="s">
        <v>245</v>
      </c>
      <c r="DH1" s="1" t="s">
        <v>246</v>
      </c>
      <c r="DI1" s="1" t="s">
        <v>247</v>
      </c>
      <c r="DJ1" s="1" t="s">
        <v>248</v>
      </c>
      <c r="DK1" s="1" t="s">
        <v>249</v>
      </c>
      <c r="DL1" s="1" t="s">
        <v>250</v>
      </c>
      <c r="DM1" s="1" t="s">
        <v>251</v>
      </c>
      <c r="DN1" s="1" t="s">
        <v>252</v>
      </c>
      <c r="DO1" s="1" t="s">
        <v>253</v>
      </c>
      <c r="DP1" s="1" t="s">
        <v>254</v>
      </c>
      <c r="DQ1" s="1" t="s">
        <v>255</v>
      </c>
      <c r="DR1" s="1" t="s">
        <v>256</v>
      </c>
      <c r="DS1" s="1" t="s">
        <v>257</v>
      </c>
      <c r="DT1" s="1" t="s">
        <v>258</v>
      </c>
      <c r="DU1" s="1" t="s">
        <v>259</v>
      </c>
      <c r="DV1" s="1" t="s">
        <v>260</v>
      </c>
      <c r="DW1" s="1" t="s">
        <v>261</v>
      </c>
      <c r="DX1" s="1" t="s">
        <v>262</v>
      </c>
      <c r="DY1" s="1" t="s">
        <v>263</v>
      </c>
      <c r="DZ1" s="1" t="s">
        <v>264</v>
      </c>
      <c r="EA1" s="1" t="s">
        <v>265</v>
      </c>
      <c r="EB1" s="1" t="s">
        <v>266</v>
      </c>
      <c r="EC1" s="1" t="s">
        <v>267</v>
      </c>
      <c r="ED1" s="1" t="s">
        <v>268</v>
      </c>
      <c r="EE1" s="1" t="s">
        <v>269</v>
      </c>
      <c r="EF1" s="1" t="s">
        <v>270</v>
      </c>
      <c r="EG1" s="1" t="s">
        <v>271</v>
      </c>
      <c r="EH1" s="1" t="s">
        <v>272</v>
      </c>
      <c r="EI1" s="1" t="s">
        <v>273</v>
      </c>
      <c r="EJ1" s="1" t="s">
        <v>274</v>
      </c>
      <c r="EK1" s="1" t="s">
        <v>275</v>
      </c>
      <c r="EL1" s="1" t="s">
        <v>276</v>
      </c>
      <c r="EM1" s="1" t="s">
        <v>277</v>
      </c>
      <c r="EN1" s="1" t="s">
        <v>286</v>
      </c>
      <c r="EO1" s="1" t="s">
        <v>287</v>
      </c>
      <c r="EP1" s="1" t="s">
        <v>288</v>
      </c>
      <c r="EQ1" s="1" t="s">
        <v>289</v>
      </c>
      <c r="ER1" s="1" t="s">
        <v>290</v>
      </c>
      <c r="ES1" s="1" t="s">
        <v>291</v>
      </c>
    </row>
    <row r="2" spans="1:149">
      <c r="A2" s="1" t="str">
        <f>GuideGestion!C1</f>
        <v>CUMA DE TEST</v>
      </c>
      <c r="B2" s="1" t="str">
        <f>GuideGestion!C2</f>
        <v>TEST999001</v>
      </c>
      <c r="C2" s="10" t="str">
        <f>GuideGestion!C12</f>
        <v>01/01/2025</v>
      </c>
      <c r="D2" s="10" t="str">
        <f>GuideGestion!C13</f>
        <v>31/12/2025</v>
      </c>
      <c r="E2" s="1" t="str">
        <f>GuideGestion!C3</f>
        <v>PARIS</v>
      </c>
      <c r="F2" s="1" t="str">
        <f>GuideGestion!C4</f>
        <v>AGR999001</v>
      </c>
      <c r="G2" s="1" t="str">
        <f>GuideGestion!C8</f>
        <v>Ali BABA</v>
      </c>
      <c r="H2" s="1" t="str">
        <f>GuideGestion!C9</f>
        <v>01.02.03.04.05</v>
      </c>
      <c r="I2" s="1" t="str">
        <f>GuideGestion!C10</f>
        <v>ali.baba@Cuma.fr</v>
      </c>
      <c r="J2" s="1" t="str">
        <f>GuideGestion!C11</f>
        <v xml:space="preserve">   64</v>
      </c>
      <c r="K2" s="11">
        <f>GuideGestion!C15</f>
        <v>562308.94999999995</v>
      </c>
      <c r="L2" s="11">
        <f>GuideGestion!D15</f>
        <v>500655.03</v>
      </c>
      <c r="M2" s="11">
        <f>GuideGestion!E15</f>
        <v>517570.12</v>
      </c>
      <c r="N2" s="11">
        <f>GuideGestion!C16</f>
        <v>235445.07</v>
      </c>
      <c r="O2" s="11">
        <f>GuideGestion!D16</f>
        <v>223675.74</v>
      </c>
      <c r="P2" s="11">
        <f>GuideGestion!E16</f>
        <v>261796.64</v>
      </c>
      <c r="Q2" s="11">
        <f>GuideGestion!C17</f>
        <v>234249.79</v>
      </c>
      <c r="R2" s="11">
        <f>GuideGestion!D17</f>
        <v>-1379.57</v>
      </c>
      <c r="S2" s="11">
        <f>GuideGestion!E17</f>
        <v>64422.42</v>
      </c>
      <c r="T2" s="11">
        <f>GuideGestion!C19</f>
        <v>118480.12</v>
      </c>
      <c r="U2" s="11">
        <f>GuideGestion!D19</f>
        <v>11409.29</v>
      </c>
      <c r="V2" s="11">
        <f>GuideGestion!E19</f>
        <v>27443.23</v>
      </c>
      <c r="W2" s="11">
        <f>GuideGestion!C20</f>
        <v>352729.91000000003</v>
      </c>
      <c r="X2" s="11">
        <f>GuideGestion!D20</f>
        <v>10029.720000000001</v>
      </c>
      <c r="Y2" s="11">
        <f>GuideGestion!E20</f>
        <v>91865.65</v>
      </c>
      <c r="Z2" s="11">
        <f>GuideGestion!C22</f>
        <v>562308.94999999995</v>
      </c>
      <c r="AA2" s="11">
        <f>GuideGestion!D22</f>
        <v>500655.03</v>
      </c>
      <c r="AB2" s="11">
        <f>GuideGestion!E22</f>
        <v>517570.12</v>
      </c>
      <c r="AC2" s="11">
        <f>GuideGestion!C24</f>
        <v>93716.75</v>
      </c>
      <c r="AD2" s="11">
        <f>GuideGestion!D24</f>
        <v>80962.240000000005</v>
      </c>
      <c r="AE2" s="11">
        <f>GuideGestion!E24</f>
        <v>68307.679999999993</v>
      </c>
      <c r="AF2" s="11">
        <f>GuideGestion!C25</f>
        <v>16.666416211230501</v>
      </c>
      <c r="AG2" s="11">
        <f>GuideGestion!D25</f>
        <v>16.171262675619179</v>
      </c>
      <c r="AH2" s="11">
        <f>GuideGestion!E25</f>
        <v>13.197763425755721</v>
      </c>
      <c r="AI2" s="11">
        <f>GuideGestion!C27</f>
        <v>0</v>
      </c>
      <c r="AJ2" s="11">
        <f>GuideGestion!D27</f>
        <v>37.432585067606325</v>
      </c>
      <c r="AK2" s="11">
        <f>GuideGestion!E27</f>
        <v>34.536937719665886</v>
      </c>
      <c r="AL2" s="11">
        <f>GuideGestion!C65</f>
        <v>30.345722226242316</v>
      </c>
      <c r="AM2" s="11">
        <f>GuideGestion!D65</f>
        <v>37.368341021473213</v>
      </c>
      <c r="AN2" s="11">
        <f>GuideGestion!E65</f>
        <v>32.140423758811195</v>
      </c>
      <c r="AO2" s="11">
        <f>GuideGestion!C28</f>
        <v>67728.850000000006</v>
      </c>
      <c r="AP2" s="11">
        <f>GuideGestion!D28</f>
        <v>32405.75</v>
      </c>
      <c r="AQ2" s="11">
        <f>GuideGestion!E28</f>
        <v>36312.800000000003</v>
      </c>
      <c r="AR2" s="11">
        <f>GuideGestion!C29</f>
        <v>12.044775385488709</v>
      </c>
      <c r="AS2" s="11">
        <f>GuideGestion!D29</f>
        <v>6.472670413398224</v>
      </c>
      <c r="AT2" s="11">
        <f>GuideGestion!E29</f>
        <v>7.0160155304174063</v>
      </c>
      <c r="AU2" s="11">
        <f>GuideGestion!C30</f>
        <v>65706.47</v>
      </c>
      <c r="AV2" s="11">
        <f>GuideGestion!D30</f>
        <v>60001.4</v>
      </c>
      <c r="AW2" s="11">
        <f>GuideGestion!E30</f>
        <v>78623.72</v>
      </c>
      <c r="AX2" s="11">
        <f>GuideGestion!C32</f>
        <v>4.4684492395150395</v>
      </c>
      <c r="AY2" s="11">
        <f>GuideGestion!D32</f>
        <v>5.113119506659106</v>
      </c>
      <c r="AZ2" s="11">
        <f>GuideGestion!E32</f>
        <v>3.8009651716370336</v>
      </c>
      <c r="BA2" s="11">
        <f>GuideGestion!C34</f>
        <v>201729.91</v>
      </c>
      <c r="BB2" s="11">
        <f>GuideGestion!C37</f>
        <v>0</v>
      </c>
      <c r="BC2" s="11">
        <f>GuideGestion!C41</f>
        <v>311005.33</v>
      </c>
      <c r="BD2" s="11">
        <f>GuideGestion!C44</f>
        <v>-109275.42000000001</v>
      </c>
      <c r="BE2" s="11">
        <f>GuideGestion!D44</f>
        <v>-36971.649999999994</v>
      </c>
      <c r="BF2" s="11">
        <f>GuideGestion!E44</f>
        <v>-74056.810000000027</v>
      </c>
      <c r="BG2" s="11">
        <f>GuideGestion!C42</f>
        <v>600907.92000000004</v>
      </c>
      <c r="BH2" s="11">
        <f>GuideGestion!C47</f>
        <v>68.849999999999994</v>
      </c>
      <c r="BI2" s="11">
        <f>GuideGestion!C52</f>
        <v>566600</v>
      </c>
      <c r="BJ2" s="11">
        <f>GuideGestion!C48</f>
        <v>151000</v>
      </c>
      <c r="BK2" s="11">
        <f>GuideGestion!C50</f>
        <v>0</v>
      </c>
      <c r="BL2" s="11">
        <f>GuideGestion!C53</f>
        <v>0</v>
      </c>
      <c r="BM2" s="11">
        <f>GuideGestion!C55</f>
        <v>-116623.22999999998</v>
      </c>
      <c r="BN2" s="11">
        <f>GuideGestion!D55</f>
        <v>336.79000000000815</v>
      </c>
      <c r="BO2" s="11">
        <f>GuideGestion!E55</f>
        <v>-555878.85</v>
      </c>
      <c r="BP2" s="11">
        <f>GuideGestion!C60</f>
        <v>7347.8099999999686</v>
      </c>
      <c r="BQ2" s="11">
        <f>GuideGestion!D60</f>
        <v>-37387.990000000005</v>
      </c>
      <c r="BR2" s="11">
        <f>GuideGestion!E60</f>
        <v>493383.66999999993</v>
      </c>
      <c r="BS2" s="11">
        <f>GuideGestion!C74</f>
        <v>295385.80000000005</v>
      </c>
      <c r="BT2" s="11">
        <f>GuideGestion!D74</f>
        <v>288037.99</v>
      </c>
      <c r="BU2" s="11">
        <f>GuideGestion!E74</f>
        <v>325425.98</v>
      </c>
      <c r="BV2" s="11">
        <f>GuideGestion!C75</f>
        <v>52.530872930263705</v>
      </c>
      <c r="BW2" s="11">
        <f>GuideGestion!D75</f>
        <v>57.532227330263709</v>
      </c>
      <c r="BX2" s="11">
        <f>GuideGestion!E75</f>
        <v>62.875727833747433</v>
      </c>
      <c r="BY2" s="11">
        <f>GuideGestion!C76+GuideGestion!C78</f>
        <v>403551.60000000003</v>
      </c>
      <c r="BZ2" s="11">
        <f>GuideGestion!D76+GuideGestion!D78</f>
        <v>329063.79000000004</v>
      </c>
      <c r="CA2" s="11">
        <f>GuideGestion!E76+GuideGestion!E78</f>
        <v>396993.68000000005</v>
      </c>
      <c r="CB2" s="11">
        <f>BY2-GuideGestion!C99-GuideGestion!C101+GuideGestion!C106</f>
        <v>367818.68999999994</v>
      </c>
      <c r="CC2" s="11">
        <f>BZ2-GuideGestion!D99-GuideGestion!D101+GuideGestion!D106</f>
        <v>232999.2100000002</v>
      </c>
      <c r="CD2" s="11">
        <f>CA2-GuideGestion!E99-GuideGestion!E101+GuideGestion!E106</f>
        <v>363523.11000000022</v>
      </c>
      <c r="CE2" s="11">
        <f>GuideGestion!C80</f>
        <v>18.452699356821547</v>
      </c>
      <c r="CF2" s="11">
        <f>GuideGestion!D80</f>
        <v>24.116849480170007</v>
      </c>
      <c r="CG2" s="11">
        <f>GuideGestion!E80</f>
        <v>28.158283171370091</v>
      </c>
      <c r="CH2" s="12">
        <f>BS2-CB2</f>
        <v>-72432.889999999898</v>
      </c>
      <c r="CI2" s="12">
        <f>BT2-CC2</f>
        <v>55038.779999999795</v>
      </c>
      <c r="CJ2" s="12">
        <f>BU2-CD2</f>
        <v>-38097.130000000237</v>
      </c>
      <c r="CK2" s="11">
        <f>GuideGestion!C85</f>
        <v>26.829023439872334</v>
      </c>
      <c r="CL2" s="11">
        <f>GuideGestion!D85</f>
        <v>30.132924061503985</v>
      </c>
      <c r="CM2" s="11">
        <f>GuideGestion!E85</f>
        <v>27.159991384355802</v>
      </c>
      <c r="CN2" s="11">
        <f>GuideGestion!C88</f>
        <v>4.9336205138124001</v>
      </c>
      <c r="CO2" s="11">
        <f>GuideGestion!D88</f>
        <v>6.0753608846800207</v>
      </c>
      <c r="CP2" s="11">
        <f>GuideGestion!E88</f>
        <v>5.9600366761964425</v>
      </c>
      <c r="CQ2" s="11">
        <f>GuideGestion!C91</f>
        <v>13.943638722023207</v>
      </c>
      <c r="CR2" s="11">
        <f>GuideGestion!D91</f>
        <v>20.688373958561733</v>
      </c>
      <c r="CS2" s="11">
        <f>GuideGestion!E91</f>
        <v>20.046113533570864</v>
      </c>
      <c r="CT2" s="11">
        <f>GuideGestion!C107</f>
        <v>53.428895237345117</v>
      </c>
      <c r="CU2" s="11">
        <f>GuideGestion!D107</f>
        <v>57.124159241254723</v>
      </c>
      <c r="CV2" s="11">
        <f>GuideGestion!E107</f>
        <v>61.142750150474491</v>
      </c>
      <c r="CW2" s="11">
        <f>GuideGestion!C105</f>
        <v>41.735644630391313</v>
      </c>
      <c r="CX2" s="11">
        <f>GuideGestion!D105</f>
        <v>36.88036786889343</v>
      </c>
      <c r="CY2" s="11">
        <f>GuideGestion!E105</f>
        <v>34.553128736378355</v>
      </c>
      <c r="CZ2" s="11">
        <f>GuideGestion!C53</f>
        <v>0</v>
      </c>
      <c r="DA2" s="11">
        <f>GuideGestion!C50</f>
        <v>0</v>
      </c>
      <c r="DB2" s="11">
        <f>GuideGestion!C65</f>
        <v>30.345722226242316</v>
      </c>
      <c r="DC2" s="11">
        <f>GuideGestion!D65</f>
        <v>37.368341021473213</v>
      </c>
      <c r="DD2" s="11">
        <f>GuideGestion!E65</f>
        <v>32.140423758811195</v>
      </c>
      <c r="DE2" s="1" t="str">
        <f>GuideGestion!C2</f>
        <v>TEST999001</v>
      </c>
      <c r="DF2" s="11">
        <f>IF((GuideGestion!C90+GuideGestion!C106+GuideGestion!C72)&lt;&gt;0,GuideGestion!C90/(GuideGestion!C90+GuideGestion!C106+GuideGestion!C72),0)</f>
        <v>0.4231896454701396</v>
      </c>
      <c r="DG2" s="11">
        <f>IF((GuideGestion!D90+GuideGestion!D106+GuideGestion!D72)&lt;&gt;0,GuideGestion!D90/(GuideGestion!D90+GuideGestion!D106+GuideGestion!D72),0)</f>
        <v>0.3876371521242617</v>
      </c>
      <c r="DH2" s="11">
        <f>IF((GuideGestion!E106+GuideGestion!E90+GuideGestion!E72)&lt;&gt;0,GuideGestion!E90/(GuideGestion!E106+GuideGestion!E90+GuideGestion!E72),0)</f>
        <v>0.35132546056023245</v>
      </c>
      <c r="DI2" s="11">
        <f>GuideGestion!C45</f>
        <v>0</v>
      </c>
      <c r="DJ2" s="11">
        <f>GuideGestion!D45</f>
        <v>25500.34</v>
      </c>
      <c r="DK2" s="11">
        <f>GuideGestion!E45</f>
        <v>10108.65</v>
      </c>
      <c r="DL2" s="11">
        <f>GuideGestion!C54</f>
        <v>0</v>
      </c>
      <c r="DM2" s="11">
        <f>GuideGestion!D54</f>
        <v>0</v>
      </c>
      <c r="DN2" s="11">
        <f>GuideGestion!E54</f>
        <v>0</v>
      </c>
      <c r="DO2" s="11">
        <f>GuideGestion!C39</f>
        <v>0</v>
      </c>
      <c r="DP2" s="11">
        <f>GuideGestion!D39</f>
        <v>0</v>
      </c>
      <c r="DQ2" s="11">
        <f>GuideGestion!E39</f>
        <v>0</v>
      </c>
      <c r="DR2" s="11">
        <f>GuideGestion!C59</f>
        <v>0</v>
      </c>
      <c r="DS2" s="11">
        <f>GuideGestion!D59</f>
        <v>-79.55</v>
      </c>
      <c r="DT2" s="11">
        <f>GuideGestion!C92</f>
        <v>3.0648067789624172</v>
      </c>
      <c r="DU2" s="11">
        <f>GuideGestion!D92</f>
        <v>3.2604289087515488</v>
      </c>
      <c r="DV2" s="11">
        <f>GuideGestion!E92</f>
        <v>2.8961406116857562</v>
      </c>
      <c r="DW2" s="11">
        <f>GuideGestion!C93</f>
        <v>0</v>
      </c>
      <c r="DX2" s="11">
        <f>GuideGestion!D93</f>
        <v>1325.0106718961802</v>
      </c>
      <c r="DY2" s="11">
        <f>GuideGestion!E93</f>
        <v>1319.4619420656015</v>
      </c>
      <c r="DZ2" s="11">
        <f>GuideGestion!C94</f>
        <v>-19.433341759899079</v>
      </c>
      <c r="EA2" s="11">
        <f>GuideGestion!D94</f>
        <v>-7.3846556580086684</v>
      </c>
      <c r="EB2" s="11">
        <f>GuideGestion!E94</f>
        <v>-14.308555911226101</v>
      </c>
      <c r="EC2" s="11">
        <f>GuideGestion!C95</f>
        <v>16.404578636861331</v>
      </c>
      <c r="ED2" s="11">
        <f>GuideGestion!D95</f>
        <v>21.033857084571995</v>
      </c>
      <c r="EE2" s="11">
        <f>GuideGestion!E95</f>
        <v>24.535232826163956</v>
      </c>
      <c r="EF2" s="11">
        <f>IF(SUM(GuideGestion!C43:E43)&gt;0,AVERAGE(GuideGestion!C43:E43),0)</f>
        <v>368385.97333333333</v>
      </c>
      <c r="EG2" s="1">
        <f>IF(GuideGestion!F87&lt;&gt;0,Publipostage!EF2/GuideGestion!F87,0)*100</f>
        <v>15.870408875224499</v>
      </c>
      <c r="EH2" s="11">
        <f>GuideGestion!C43</f>
        <v>574657.92000000004</v>
      </c>
      <c r="EI2" s="11">
        <f>GuideGestion!D43</f>
        <v>143350</v>
      </c>
      <c r="EJ2" s="11">
        <f>GuideGestion!E43</f>
        <v>387150</v>
      </c>
      <c r="EK2" s="13">
        <f>GuideGestion!C18</f>
        <v>0</v>
      </c>
      <c r="EL2" s="13">
        <f>GuideGestion!D18</f>
        <v>0</v>
      </c>
      <c r="EM2" s="13">
        <f>GuideGestion!E18</f>
        <v>0</v>
      </c>
      <c r="EN2" s="1">
        <f>GuideGestion!C49</f>
        <v>32500</v>
      </c>
      <c r="EO2" s="1">
        <f>GuideGestion!D49</f>
        <v>0</v>
      </c>
      <c r="EP2" s="1">
        <f>GuideGestion!E49</f>
        <v>0</v>
      </c>
      <c r="EQ2" s="11">
        <f>Q2-EN2</f>
        <v>201749.79</v>
      </c>
      <c r="ER2" s="11">
        <f>R2-EO2</f>
        <v>-1379.57</v>
      </c>
      <c r="ES2" s="11">
        <f>S2-EP2</f>
        <v>64422.42</v>
      </c>
    </row>
    <row r="3" spans="1:149">
      <c r="K3" s="13"/>
      <c r="L3" s="13"/>
    </row>
    <row r="4" spans="1:149">
      <c r="K4" s="13"/>
      <c r="L4" s="13"/>
    </row>
    <row r="5" spans="1:149">
      <c r="K5" s="13"/>
      <c r="L5" s="13"/>
    </row>
    <row r="6" spans="1:149">
      <c r="K6" s="13"/>
      <c r="L6" s="13"/>
    </row>
    <row r="7" spans="1:149">
      <c r="K7" s="13"/>
    </row>
  </sheetData>
  <pageMargins left="0.7" right="0.7" top="1.0458333333333301" bottom="1.0458333333333301" header="0.511811023622047" footer="0.511811023622047"/>
  <pageSetup paperSize="9" pageOrder="overThenDown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GuideGestion</vt:lpstr>
      <vt:lpstr>Publipostage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dimitri</dc:creator>
  <dc:description/>
  <cp:lastModifiedBy>Guillaume</cp:lastModifiedBy>
  <cp:revision>119</cp:revision>
  <dcterms:created xsi:type="dcterms:W3CDTF">2019-08-08T15:05:53Z</dcterms:created>
  <dcterms:modified xsi:type="dcterms:W3CDTF">2026-04-03T12:31:54Z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